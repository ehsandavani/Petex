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thokn\Desktop\"/>
    </mc:Choice>
  </mc:AlternateContent>
  <xr:revisionPtr revIDLastSave="0" documentId="8_{B5216CC5-BC03-4851-BD9E-6ACE1D14F031}" xr6:coauthVersionLast="36" xr6:coauthVersionMax="36" xr10:uidLastSave="{00000000-0000-0000-0000-000000000000}"/>
  <bookViews>
    <workbookView xWindow="29955" yWindow="240" windowWidth="11805" windowHeight="7515" xr2:uid="{00000000-000D-0000-FFFF-FFFF00000000}"/>
  </bookViews>
  <sheets>
    <sheet name="Info MultiTest" sheetId="18" r:id="rId1"/>
    <sheet name="MultiTestAnalysis" sheetId="50" r:id="rId2"/>
    <sheet name="Module5" sheetId="8" state="veryHidden" r:id=""/>
    <sheet name="Info SingleTest" sheetId="53" state="hidden" r:id="rId3"/>
    <sheet name="SingelTestAnalyse" sheetId="51" state="hidden" r:id="rId4"/>
  </sheets>
  <functionGroups builtInGroupCount="19"/>
  <definedNames>
    <definedName name="_xlnm._FilterDatabase" localSheetId="1" hidden="1">MultiTestAnalysis!$A$17:$S$98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35" i="51" l="1"/>
  <c r="G33" i="51" s="1"/>
  <c r="G82" i="51"/>
  <c r="G81" i="51"/>
  <c r="G80" i="51"/>
  <c r="M71" i="51"/>
  <c r="L71" i="51"/>
  <c r="K71" i="51"/>
  <c r="J71" i="51"/>
  <c r="I71" i="51"/>
  <c r="H71" i="51"/>
  <c r="G74" i="51"/>
  <c r="G72" i="51" s="1"/>
  <c r="G73" i="51" s="1"/>
  <c r="G75" i="51" s="1"/>
  <c r="Q21" i="51"/>
  <c r="Q60" i="51" s="1"/>
  <c r="L23" i="51"/>
  <c r="M23" i="51"/>
  <c r="M62" i="51"/>
  <c r="J22" i="51"/>
  <c r="J61" i="51" s="1"/>
  <c r="K22" i="51"/>
  <c r="L22" i="51"/>
  <c r="M22" i="51" s="1"/>
  <c r="M61" i="51" s="1"/>
  <c r="J25" i="51"/>
  <c r="J64" i="51" s="1"/>
  <c r="K25" i="51"/>
  <c r="L25" i="51"/>
  <c r="K64" i="51"/>
  <c r="J26" i="51"/>
  <c r="J81" i="51" s="1"/>
  <c r="K26" i="51"/>
  <c r="T82" i="51" s="1"/>
  <c r="J27" i="51"/>
  <c r="J66" i="51"/>
  <c r="K27" i="51"/>
  <c r="K66" i="51" s="1"/>
  <c r="J28" i="51"/>
  <c r="J67" i="51"/>
  <c r="K28" i="51"/>
  <c r="K67" i="51" s="1"/>
  <c r="J29" i="51"/>
  <c r="J68" i="51"/>
  <c r="K29" i="51"/>
  <c r="K68" i="51" s="1"/>
  <c r="J30" i="51"/>
  <c r="J69" i="51"/>
  <c r="K30" i="51"/>
  <c r="K69" i="51" s="1"/>
  <c r="J31" i="51"/>
  <c r="J70" i="51"/>
  <c r="K31" i="51"/>
  <c r="L31" i="51" s="1"/>
  <c r="K21" i="51"/>
  <c r="K60" i="51" s="1"/>
  <c r="J21" i="51"/>
  <c r="J60" i="51"/>
  <c r="V23" i="51"/>
  <c r="V62" i="51" s="1"/>
  <c r="U23" i="51"/>
  <c r="U62" i="51"/>
  <c r="U22" i="51"/>
  <c r="U61" i="51" s="1"/>
  <c r="T22" i="51"/>
  <c r="T61" i="51" s="1"/>
  <c r="S22" i="51"/>
  <c r="S61" i="51" s="1"/>
  <c r="S21" i="51"/>
  <c r="S60" i="51" s="1"/>
  <c r="Q23" i="51"/>
  <c r="Q62" i="51" s="1"/>
  <c r="Q22" i="51"/>
  <c r="Q61" i="51" s="1"/>
  <c r="R21" i="51"/>
  <c r="R60" i="51" s="1"/>
  <c r="M30" i="51"/>
  <c r="M69" i="51" s="1"/>
  <c r="L30" i="51"/>
  <c r="L69" i="51" s="1"/>
  <c r="H22" i="51"/>
  <c r="H61" i="51" s="1"/>
  <c r="H25" i="51"/>
  <c r="H64" i="51" s="1"/>
  <c r="H26" i="51"/>
  <c r="H65" i="51" s="1"/>
  <c r="H27" i="51"/>
  <c r="I27" i="51" s="1"/>
  <c r="I66" i="51" s="1"/>
  <c r="H29" i="51"/>
  <c r="I29" i="51" s="1"/>
  <c r="I68" i="51" s="1"/>
  <c r="H68" i="51"/>
  <c r="H30" i="51"/>
  <c r="H69" i="51"/>
  <c r="H31" i="51"/>
  <c r="H70" i="51"/>
  <c r="H21" i="51"/>
  <c r="H60" i="51"/>
  <c r="J65" i="51"/>
  <c r="T21" i="51"/>
  <c r="T60" i="51"/>
  <c r="L62" i="51"/>
  <c r="Q82" i="51"/>
  <c r="K61" i="51"/>
  <c r="I21" i="51"/>
  <c r="I60" i="51"/>
  <c r="I31" i="51"/>
  <c r="I70" i="51" s="1"/>
  <c r="K70" i="51"/>
  <c r="R22" i="51"/>
  <c r="R61" i="51"/>
  <c r="I30" i="51"/>
  <c r="I69" i="51"/>
  <c r="H66" i="51"/>
  <c r="Q81" i="51"/>
  <c r="K35" i="51"/>
  <c r="K74" i="51"/>
  <c r="H35" i="51"/>
  <c r="H74" i="51"/>
  <c r="J35" i="51"/>
  <c r="J74" i="51"/>
  <c r="L35" i="51"/>
  <c r="I22" i="51"/>
  <c r="I61" i="51" s="1"/>
  <c r="M35" i="51"/>
  <c r="M74" i="51"/>
  <c r="L74" i="51"/>
  <c r="L64" i="51"/>
  <c r="M25" i="51"/>
  <c r="M64" i="51"/>
  <c r="K81" i="51"/>
  <c r="S80" i="51"/>
  <c r="U21" i="51"/>
  <c r="U60" i="51" s="1"/>
  <c r="I35" i="51"/>
  <c r="S81" i="51"/>
  <c r="T81" i="51"/>
  <c r="J80" i="51"/>
  <c r="K80" i="51"/>
  <c r="S82" i="51"/>
  <c r="I74" i="51"/>
  <c r="L70" i="51" l="1"/>
  <c r="M31" i="51"/>
  <c r="M70" i="51" s="1"/>
  <c r="G34" i="51"/>
  <c r="J33" i="51"/>
  <c r="I33" i="51"/>
  <c r="K33" i="51"/>
  <c r="H33" i="51"/>
  <c r="V21" i="51"/>
  <c r="V60" i="51" s="1"/>
  <c r="K65" i="51"/>
  <c r="L21" i="51"/>
  <c r="I26" i="51"/>
  <c r="L29" i="51"/>
  <c r="R23" i="51"/>
  <c r="J82" i="51"/>
  <c r="L61" i="51"/>
  <c r="T80" i="51"/>
  <c r="V22" i="51"/>
  <c r="V61" i="51" s="1"/>
  <c r="K82" i="51"/>
  <c r="Q80" i="51"/>
  <c r="H80" i="51"/>
  <c r="I25" i="51"/>
  <c r="I64" i="51" s="1"/>
  <c r="L26" i="51"/>
  <c r="H81" i="51"/>
  <c r="H82" i="51"/>
  <c r="L27" i="51"/>
  <c r="I81" i="51" l="1"/>
  <c r="I65" i="51"/>
  <c r="I80" i="51"/>
  <c r="R81" i="51"/>
  <c r="R80" i="51"/>
  <c r="I82" i="51"/>
  <c r="R82" i="51"/>
  <c r="H72" i="51"/>
  <c r="H24" i="51"/>
  <c r="J34" i="51"/>
  <c r="G36" i="51"/>
  <c r="H34" i="51"/>
  <c r="K34" i="51"/>
  <c r="M29" i="51"/>
  <c r="M68" i="51" s="1"/>
  <c r="L68" i="51"/>
  <c r="L80" i="51"/>
  <c r="L65" i="51"/>
  <c r="M26" i="51"/>
  <c r="L82" i="51"/>
  <c r="U82" i="51"/>
  <c r="U81" i="51"/>
  <c r="U80" i="51"/>
  <c r="L81" i="51"/>
  <c r="L60" i="51"/>
  <c r="M21" i="51"/>
  <c r="M60" i="51" s="1"/>
  <c r="K24" i="51"/>
  <c r="K72" i="51"/>
  <c r="L33" i="51"/>
  <c r="J72" i="51"/>
  <c r="J24" i="51"/>
  <c r="M27" i="51"/>
  <c r="M66" i="51" s="1"/>
  <c r="L66" i="51"/>
  <c r="S23" i="51"/>
  <c r="R62" i="51"/>
  <c r="I72" i="51"/>
  <c r="I24" i="51"/>
  <c r="I23" i="51" l="1"/>
  <c r="I62" i="51" s="1"/>
  <c r="I63" i="51"/>
  <c r="M33" i="51"/>
  <c r="M72" i="51" s="1"/>
  <c r="L24" i="51"/>
  <c r="L72" i="51"/>
  <c r="H73" i="51"/>
  <c r="H28" i="51"/>
  <c r="H67" i="51" s="1"/>
  <c r="I34" i="51"/>
  <c r="H36" i="51"/>
  <c r="H75" i="51" s="1"/>
  <c r="J23" i="51"/>
  <c r="J62" i="51" s="1"/>
  <c r="J63" i="51"/>
  <c r="K23" i="51"/>
  <c r="K62" i="51" s="1"/>
  <c r="K63" i="51"/>
  <c r="V80" i="51"/>
  <c r="V82" i="51"/>
  <c r="M80" i="51"/>
  <c r="V81" i="51"/>
  <c r="M81" i="51"/>
  <c r="M65" i="51"/>
  <c r="M82" i="51"/>
  <c r="J73" i="51"/>
  <c r="J36" i="51"/>
  <c r="J75" i="51" s="1"/>
  <c r="T23" i="51"/>
  <c r="T62" i="51" s="1"/>
  <c r="S62" i="51"/>
  <c r="K73" i="51"/>
  <c r="K36" i="51"/>
  <c r="H63" i="51"/>
  <c r="H23" i="51"/>
  <c r="H62" i="51" s="1"/>
  <c r="L63" i="51" l="1"/>
  <c r="M24" i="51"/>
  <c r="M63" i="51" s="1"/>
  <c r="I73" i="51"/>
  <c r="I36" i="51"/>
  <c r="I75" i="51" s="1"/>
  <c r="I28" i="51"/>
  <c r="I67" i="51" s="1"/>
  <c r="K75" i="51"/>
  <c r="L36" i="51"/>
  <c r="L34" i="51" l="1"/>
  <c r="L75" i="51"/>
  <c r="M36" i="51"/>
  <c r="M75" i="51" l="1"/>
  <c r="M34" i="51"/>
  <c r="L73" i="51"/>
  <c r="L28" i="51"/>
  <c r="L67" i="51" s="1"/>
  <c r="M28" i="51" l="1"/>
  <c r="M67" i="51" s="1"/>
  <c r="M73" i="51"/>
</calcChain>
</file>

<file path=xl/sharedStrings.xml><?xml version="1.0" encoding="utf-8"?>
<sst xmlns="http://schemas.openxmlformats.org/spreadsheetml/2006/main" count="312" uniqueCount="140">
  <si>
    <t>Liquid Rate</t>
  </si>
  <si>
    <t>GOR</t>
  </si>
  <si>
    <t>Gas Oil Ratio</t>
  </si>
  <si>
    <t>Reservoir Pressure</t>
  </si>
  <si>
    <t>Field</t>
  </si>
  <si>
    <t>Well</t>
  </si>
  <si>
    <t>Tubing correlation</t>
  </si>
  <si>
    <t>Pressure @ gauge depth</t>
  </si>
  <si>
    <t>Test point date</t>
  </si>
  <si>
    <t>Tubing Head Pressure</t>
  </si>
  <si>
    <t>Tubing Head Temperature</t>
  </si>
  <si>
    <t>Water Cut</t>
  </si>
  <si>
    <t>Gauge Depth MD</t>
  </si>
  <si>
    <t>Gauge Pressure</t>
  </si>
  <si>
    <t>GOR Free</t>
  </si>
  <si>
    <t>Gaslift Gas Rate</t>
  </si>
  <si>
    <t>Injection Depth MD</t>
  </si>
  <si>
    <t>Correlation calculation Gauge Depth</t>
  </si>
  <si>
    <t>Tests</t>
  </si>
  <si>
    <t>Test no</t>
  </si>
  <si>
    <t>Fremgangsmåte:</t>
  </si>
  <si>
    <t>Åpne ønsket fil i Prosper</t>
  </si>
  <si>
    <t>Utfør en tubing correlation comparison</t>
  </si>
  <si>
    <t>PE</t>
  </si>
  <si>
    <t>PE2</t>
  </si>
  <si>
    <t>PE3</t>
  </si>
  <si>
    <t>PE4</t>
  </si>
  <si>
    <t>PE5</t>
  </si>
  <si>
    <t>O3P</t>
  </si>
  <si>
    <t>B&amp;B</t>
  </si>
  <si>
    <t>D&amp;RM</t>
  </si>
  <si>
    <t>max</t>
  </si>
  <si>
    <t>GREM</t>
  </si>
  <si>
    <t>F&amp;B</t>
  </si>
  <si>
    <t>H&amp;B</t>
  </si>
  <si>
    <t>M&amp;B</t>
  </si>
  <si>
    <t>O3PE</t>
  </si>
  <si>
    <t>min</t>
  </si>
  <si>
    <t>Gradient result line number most corr</t>
  </si>
  <si>
    <t>First test</t>
  </si>
  <si>
    <t>Last test</t>
  </si>
  <si>
    <t>Gradient result line number PE4</t>
  </si>
  <si>
    <t>Gradient result line number PE5</t>
  </si>
  <si>
    <t>Lukk eventuelt åpne applikasjoner i Prosper</t>
  </si>
  <si>
    <t>Test number</t>
  </si>
  <si>
    <t>Date</t>
  </si>
  <si>
    <t>THP</t>
  </si>
  <si>
    <t>THT</t>
  </si>
  <si>
    <t>WC</t>
  </si>
  <si>
    <t>Qliq</t>
  </si>
  <si>
    <t>GL depth</t>
  </si>
  <si>
    <t>Gauge depth</t>
  </si>
  <si>
    <t>Gauge press</t>
  </si>
  <si>
    <t>GORfree</t>
  </si>
  <si>
    <t>GL rate</t>
  </si>
  <si>
    <t>Res Press</t>
  </si>
  <si>
    <t>[bar]</t>
  </si>
  <si>
    <t>[C]</t>
  </si>
  <si>
    <t>[%]</t>
  </si>
  <si>
    <t>[Sm3/d]</t>
  </si>
  <si>
    <t>[MD RKB]</t>
  </si>
  <si>
    <t>[Sm3/Sm3]</t>
  </si>
  <si>
    <t>[kSm3/d]</t>
  </si>
  <si>
    <t>High</t>
  </si>
  <si>
    <t>Low</t>
  </si>
  <si>
    <t>Oil rate</t>
  </si>
  <si>
    <t>Water rate</t>
  </si>
  <si>
    <t>Gas rate</t>
  </si>
  <si>
    <t>PVT</t>
  </si>
  <si>
    <t>Solution GOR</t>
  </si>
  <si>
    <t>Oil gravity</t>
  </si>
  <si>
    <t>Gas gravity</t>
  </si>
  <si>
    <t>Water salinity</t>
  </si>
  <si>
    <t>[kg/m3]</t>
  </si>
  <si>
    <t>[sp. grav]</t>
  </si>
  <si>
    <t>[ppm]</t>
  </si>
  <si>
    <t>Gaugerow number</t>
  </si>
  <si>
    <t>Simulation</t>
  </si>
  <si>
    <t>Depth</t>
  </si>
  <si>
    <t>Fa&amp;Br</t>
  </si>
  <si>
    <t>Du&amp;Ro mod</t>
  </si>
  <si>
    <t>Tot gas rate</t>
  </si>
  <si>
    <t>Grav. contr.</t>
  </si>
  <si>
    <t>Fric. contr.</t>
  </si>
  <si>
    <t>Input:</t>
  </si>
  <si>
    <t>DELTA</t>
  </si>
  <si>
    <t>Finn linjenr. hvor "Bottom Measured Depth" = Gauge Depth og sett inn linjenr. i celle G5 i "SingleTestAnalyse" sheet</t>
  </si>
  <si>
    <t>Du må så velge hvilken tester som skal simuleres. Åpne "VLP/IPR matching". Skriv inn test nummer  i celle G4</t>
  </si>
  <si>
    <t>Get Test (Henter ut valgte test)</t>
  </si>
  <si>
    <t>Get PVT (Henter ut PVT data)</t>
  </si>
  <si>
    <t>Run sensitivity (kjører sensitvitet på rater)</t>
  </si>
  <si>
    <t>Run PVT sens (Kjører sensitivitet på PVT)</t>
  </si>
  <si>
    <t>Kjør Macroer:</t>
  </si>
  <si>
    <t>16/01/2014</t>
  </si>
  <si>
    <t>O2P</t>
  </si>
  <si>
    <t>Test Comment</t>
  </si>
  <si>
    <t>Test No</t>
  </si>
  <si>
    <t>Calc Time</t>
  </si>
  <si>
    <t>&lt;---Parameter 1</t>
  </si>
  <si>
    <t>&lt;---Parameter 2</t>
  </si>
  <si>
    <t>H2P</t>
  </si>
  <si>
    <t>Flowing Bottom Hole Temperature</t>
  </si>
  <si>
    <t>User manual</t>
  </si>
  <si>
    <t>Close any open windows in Prosper</t>
  </si>
  <si>
    <t>Analyse development in Calculated - Measured pressure at DHPG</t>
  </si>
  <si>
    <t>Version</t>
  </si>
  <si>
    <t>Remark</t>
  </si>
  <si>
    <t>Responsible</t>
  </si>
  <si>
    <t>erlinge</t>
  </si>
  <si>
    <t>Corrected reading of results for OLGAS2P, OLGAS3P og OLGAS3PEXT
Corrected reading of dates from Prosper so that conversion is correct.
Load test number for all tests and show it for Calculated Gauge pressure, Calc Gravity pres loss and Calc Friction pres loss. Easier to see which results belong together
Read Test Comments
Read parameter 1 and 2 for all Tubing Correlations
Read Heat transfer coefficient
Show time for start and end calculation in separate column
Changed Hydro3P to Hydro2P, Hydro 3P is really slow.
Read Flowing bottom hole temperature used in calculation</t>
  </si>
  <si>
    <t>The macro is now able to find the row number at gauge depth automatically for all correlations
Calculated - Measured pressure is updated automatically
Filename of Prosper file displayed</t>
  </si>
  <si>
    <t>BO Oil and Water 2018.03.12</t>
  </si>
  <si>
    <t>Filename</t>
  </si>
  <si>
    <t>Difference Calculated - Measured</t>
  </si>
  <si>
    <t>Prosper_BO_Oil_Water_multi_test_analysis_20190227</t>
  </si>
  <si>
    <t>Prosper_BO_Oil_Water_multi_test_analysis_20190226</t>
  </si>
  <si>
    <t>All reading and saving to worksheet now done with reference to Workbook and Worksheet name. Reduce risk of writing or reading from other open spreadsheets</t>
  </si>
  <si>
    <t>GOR from PVT input</t>
  </si>
  <si>
    <t>F:\Statoil Documents\My Personal Documents\Prosper data\ProsperMultiTestMacro\G-17C ERLINGE10032018.OUT</t>
  </si>
  <si>
    <t>PL 169 Grane</t>
  </si>
  <si>
    <t>25/11-G-17C</t>
  </si>
  <si>
    <t>Calculated Gauge Pressure</t>
  </si>
  <si>
    <t xml:space="preserve">Calc Gravity pres.loss </t>
  </si>
  <si>
    <t>Calc Friction pres.loss</t>
  </si>
  <si>
    <t>U-Value test</t>
  </si>
  <si>
    <t>19.05.2017 DHT 80.4</t>
  </si>
  <si>
    <t>19.05.2017 DHT 80.3</t>
  </si>
  <si>
    <t>&lt;-Total Number of Test</t>
  </si>
  <si>
    <t>Prosper_BO_Oil_Water_multi_test_analysis_20190319draft</t>
  </si>
  <si>
    <t>Count total number of test in VLP/IPR
Test if LastTest is larger than TestTotalNumber, and show error message, Disconnect and END if true
Enable tests from FirstTest to LastTest, Calculate Uvalue for all enabled tests, Read Uvalue per test into sheet, not used in calculations pr test yet</t>
  </si>
  <si>
    <t>Oil And Water - Black Oil</t>
  </si>
  <si>
    <t>Fluid Type - Method</t>
  </si>
  <si>
    <t>In MultiTestAnalysis Press the "Start" in button to perform calculations</t>
  </si>
  <si>
    <t xml:space="preserve">In MultiTestAnalyse enter Point number for First and Last test in VLP/IPR to be analysed
</t>
  </si>
  <si>
    <t xml:space="preserve">
An error message is shown if last test entered is higher than number of tests in file</t>
  </si>
  <si>
    <t>An error message is shown if Fluid and/or PVT method is not handled
An error message is shown if incorrect Temperature model is used
Dry and Wet Gas is not supported</t>
  </si>
  <si>
    <t xml:space="preserve">Open Prosper file with test data in VLP/IPR matching, make sure it has:
-Fluid: Retrograde Condensate - PVT Method: EOS
or
-Fluid: Oil and Water - PVT Method: Black Oil
-Temperature model: Rough Approximation
</t>
  </si>
  <si>
    <t xml:space="preserve">Heat Transfer Coefficient </t>
  </si>
  <si>
    <t>Prosper_Multi_test_analysis_20190319</t>
  </si>
  <si>
    <t>Handles 
Retrograde Condensate - EOS
Oil and water - Black Oil
-RateTypes Oil rate and Liquid Rate
Use calcuated U-value per test in calculations
Error message for:
Dry and wet gas 
Oil and water EOS
Retrograde Condensate - Black Oil
Temperature Model not Rough Approximation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</si>
</sst>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0.000"/>
    <numFmt numFmtId="166" formatCode="0.00000"/>
    <numFmt numFmtId="167" formatCode="#,##0.0"/>
    <numFmt numFmtId="168" formatCode="[$-F400]h:mm:ss\ AM/PM"/>
    <numFmt numFmtId="169" formatCode="dd/mm/yyyy;@"/>
    <numFmt numFmtId="170" formatCode="0.0000000"/>
  </numFmts>
  <fonts count="11" x14ac:knownFonts="1">
    <font>
      <sz val="10"/>
      <name val="Arial"/>
    </font>
    <font>
      <sz val="8"/>
      <name val="Arial"/>
      <family val="2"/>
    </font>
    <font>
      <sz val="10"/>
      <name val="Arial"/>
      <family val="2"/>
    </font>
    <font>
      <sz val="10"/>
      <name val="Arial"/>
      <family val="2"/>
    </font>
    <font>
      <b/>
      <sz val="10"/>
      <name val="Arial"/>
      <family val="2"/>
    </font>
    <font>
      <sz val="14"/>
      <name val="Arial"/>
      <family val="2"/>
    </font>
    <font>
      <b/>
      <sz val="14"/>
      <name val="Arial"/>
      <family val="2"/>
    </font>
    <font>
      <sz val="16"/>
      <name val="Arial"/>
      <family val="2"/>
    </font>
    <font>
      <b/>
      <sz val="18"/>
      <name val="Arial"/>
      <family val="2"/>
    </font>
    <font>
      <sz val="8"/>
      <color theme="2"/>
      <name val="Arial"/>
      <family val="2"/>
    </font>
    <font>
      <sz val="11"/>
      <name val="Calibri"/>
      <family val="2"/>
    </font>
  </fonts>
  <fills count="9">
    <fill>
      <patternFill patternType="none"/>
    </fill>
    <fill>
      <patternFill patternType="gray125"/>
    </fill>
    <fill>
      <patternFill patternType="solid">
        <fgColor indexed="40"/>
        <bgColor indexed="64"/>
      </patternFill>
    </fill>
    <fill>
      <patternFill patternType="solid">
        <fgColor indexed="50"/>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s>
  <borders count="15">
    <border>
      <left/>
      <right/>
      <top/>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5">
    <xf numFmtId="0" fontId="0" fillId="0" borderId="0"/>
    <xf numFmtId="0" fontId="3" fillId="0" borderId="0"/>
    <xf numFmtId="0" fontId="2" fillId="0" borderId="0"/>
    <xf numFmtId="0" fontId="2" fillId="0" borderId="0"/>
    <xf numFmtId="0" fontId="2" fillId="0" borderId="0"/>
  </cellStyleXfs>
  <cellXfs count="247">
    <xf numFmtId="0" fontId="0" fillId="0" borderId="0" xfId="0"/>
    <xf numFmtId="0" fontId="0" fillId="0" borderId="1" xfId="0" applyBorder="1"/>
    <xf numFmtId="0" fontId="0" fillId="0" borderId="2" xfId="0" applyBorder="1" applyAlignment="1">
      <alignment horizontal="center"/>
    </xf>
    <xf numFmtId="3" fontId="0" fillId="0" borderId="0" xfId="0" applyNumberFormat="1"/>
    <xf numFmtId="0" fontId="0" fillId="2" borderId="3" xfId="0" applyFill="1" applyBorder="1"/>
    <xf numFmtId="0" fontId="0" fillId="2" borderId="1" xfId="0" applyFill="1" applyBorder="1"/>
    <xf numFmtId="0" fontId="0" fillId="2" borderId="4" xfId="0" applyFill="1" applyBorder="1"/>
    <xf numFmtId="0" fontId="0" fillId="2" borderId="5" xfId="0" applyFill="1" applyBorder="1"/>
    <xf numFmtId="0" fontId="0" fillId="2" borderId="2" xfId="0" applyFill="1" applyBorder="1"/>
    <xf numFmtId="0" fontId="0" fillId="2" borderId="6" xfId="0" applyFill="1" applyBorder="1"/>
    <xf numFmtId="0" fontId="2" fillId="0" borderId="0" xfId="0" applyFont="1" applyFill="1" applyBorder="1"/>
    <xf numFmtId="1" fontId="2" fillId="0" borderId="0" xfId="0" applyNumberFormat="1" applyFont="1" applyFill="1" applyBorder="1"/>
    <xf numFmtId="14" fontId="2" fillId="0" borderId="0" xfId="0" applyNumberFormat="1" applyFont="1" applyFill="1" applyBorder="1"/>
    <xf numFmtId="2" fontId="2" fillId="0" borderId="0" xfId="0" applyNumberFormat="1" applyFont="1" applyFill="1" applyBorder="1"/>
    <xf numFmtId="0" fontId="9" fillId="0" borderId="0" xfId="0" applyFont="1"/>
    <xf numFmtId="166" fontId="0" fillId="0" borderId="0" xfId="0" applyNumberFormat="1" applyFill="1"/>
    <xf numFmtId="0" fontId="0" fillId="0" borderId="0" xfId="0" applyFill="1"/>
    <xf numFmtId="0" fontId="4" fillId="0" borderId="0" xfId="0" applyFont="1"/>
    <xf numFmtId="0" fontId="2" fillId="0" borderId="0" xfId="0" applyFont="1"/>
    <xf numFmtId="0" fontId="0" fillId="4" borderId="0" xfId="0" applyFill="1"/>
    <xf numFmtId="0" fontId="0" fillId="5" borderId="0" xfId="0" applyFill="1"/>
    <xf numFmtId="0" fontId="0" fillId="6" borderId="0" xfId="0" applyFill="1"/>
    <xf numFmtId="2" fontId="0" fillId="0" borderId="0" xfId="0" applyNumberFormat="1" applyFill="1"/>
    <xf numFmtId="2" fontId="4" fillId="0" borderId="0" xfId="0" applyNumberFormat="1" applyFont="1"/>
    <xf numFmtId="0" fontId="7" fillId="0" borderId="0" xfId="0" applyFont="1"/>
    <xf numFmtId="0" fontId="0" fillId="0" borderId="0" xfId="0" applyAlignment="1">
      <alignment wrapText="1"/>
    </xf>
    <xf numFmtId="0" fontId="7" fillId="0" borderId="0" xfId="0" applyFont="1" applyAlignment="1">
      <alignment wrapText="1"/>
    </xf>
    <xf numFmtId="0" fontId="4" fillId="7" borderId="0" xfId="0" applyFont="1" applyFill="1"/>
    <xf numFmtId="0" fontId="0" fillId="7" borderId="0" xfId="0" applyFill="1"/>
    <xf numFmtId="0" fontId="0" fillId="8" borderId="0" xfId="0" applyFill="1"/>
    <xf numFmtId="164" fontId="0" fillId="8" borderId="0" xfId="0" applyNumberFormat="1" applyFill="1"/>
    <xf numFmtId="0" fontId="4" fillId="8" borderId="0" xfId="0" applyFont="1" applyFill="1"/>
    <xf numFmtId="0" fontId="0" fillId="0" borderId="0" xfId="0" applyBorder="1"/>
    <xf numFmtId="9" fontId="4" fillId="4" borderId="0" xfId="0" applyNumberFormat="1" applyFont="1" applyFill="1" applyBorder="1"/>
    <xf numFmtId="9" fontId="4" fillId="6" borderId="0" xfId="0" applyNumberFormat="1" applyFont="1" applyFill="1" applyBorder="1"/>
    <xf numFmtId="9" fontId="4" fillId="6" borderId="7" xfId="0" applyNumberFormat="1" applyFont="1" applyFill="1" applyBorder="1"/>
    <xf numFmtId="0" fontId="0" fillId="0" borderId="8" xfId="0" applyBorder="1"/>
    <xf numFmtId="0" fontId="4" fillId="6" borderId="7" xfId="0" applyFont="1" applyFill="1" applyBorder="1"/>
    <xf numFmtId="0" fontId="4" fillId="0" borderId="8" xfId="0" applyFont="1" applyBorder="1"/>
    <xf numFmtId="0" fontId="4" fillId="0" borderId="0" xfId="0" applyFont="1" applyBorder="1"/>
    <xf numFmtId="0" fontId="0" fillId="4" borderId="0" xfId="0" applyFill="1" applyBorder="1"/>
    <xf numFmtId="0" fontId="0" fillId="5" borderId="0" xfId="0" applyFill="1" applyBorder="1"/>
    <xf numFmtId="0" fontId="0" fillId="6" borderId="0" xfId="0" applyFill="1" applyBorder="1"/>
    <xf numFmtId="0" fontId="0" fillId="6" borderId="7" xfId="0" applyFill="1" applyBorder="1"/>
    <xf numFmtId="167" fontId="4" fillId="0" borderId="0" xfId="0" applyNumberFormat="1" applyFont="1" applyBorder="1"/>
    <xf numFmtId="165" fontId="4" fillId="0" borderId="0" xfId="0" applyNumberFormat="1" applyFont="1" applyBorder="1"/>
    <xf numFmtId="2" fontId="4" fillId="0" borderId="0" xfId="0" applyNumberFormat="1" applyFont="1" applyBorder="1"/>
    <xf numFmtId="0" fontId="4" fillId="0" borderId="5" xfId="0" applyFont="1" applyBorder="1"/>
    <xf numFmtId="0" fontId="4" fillId="0" borderId="2" xfId="0" applyFont="1" applyBorder="1"/>
    <xf numFmtId="2" fontId="4" fillId="0" borderId="2" xfId="0" applyNumberFormat="1" applyFont="1" applyBorder="1"/>
    <xf numFmtId="2" fontId="0" fillId="4" borderId="2" xfId="0" applyNumberFormat="1" applyFill="1" applyBorder="1"/>
    <xf numFmtId="2" fontId="0" fillId="5" borderId="2" xfId="0" applyNumberFormat="1" applyFill="1" applyBorder="1"/>
    <xf numFmtId="2" fontId="0" fillId="6" borderId="2" xfId="0" applyNumberFormat="1" applyFill="1" applyBorder="1"/>
    <xf numFmtId="2" fontId="0" fillId="6" borderId="6" xfId="0" applyNumberFormat="1" applyFill="1" applyBorder="1"/>
    <xf numFmtId="0" fontId="0" fillId="0" borderId="4" xfId="0" applyBorder="1"/>
    <xf numFmtId="0" fontId="0" fillId="0" borderId="7" xfId="0" applyBorder="1"/>
    <xf numFmtId="164" fontId="4" fillId="0" borderId="7" xfId="0" applyNumberFormat="1" applyFont="1" applyBorder="1"/>
    <xf numFmtId="0" fontId="4" fillId="0" borderId="7" xfId="0" applyFont="1" applyBorder="1"/>
    <xf numFmtId="167" fontId="4" fillId="0" borderId="7" xfId="0" applyNumberFormat="1" applyFont="1" applyBorder="1"/>
    <xf numFmtId="0" fontId="4" fillId="0" borderId="3" xfId="0" applyFont="1" applyBorder="1"/>
    <xf numFmtId="0" fontId="4" fillId="0" borderId="1" xfId="0" applyFont="1" applyBorder="1"/>
    <xf numFmtId="14" fontId="4" fillId="0" borderId="4" xfId="0" applyNumberFormat="1" applyFont="1" applyBorder="1"/>
    <xf numFmtId="167" fontId="4" fillId="0" borderId="6" xfId="0" applyNumberFormat="1" applyFont="1" applyBorder="1"/>
    <xf numFmtId="0" fontId="0" fillId="4" borderId="1" xfId="0" applyFill="1" applyBorder="1"/>
    <xf numFmtId="0" fontId="0" fillId="5" borderId="1" xfId="0" applyFill="1" applyBorder="1"/>
    <xf numFmtId="0" fontId="0" fillId="6" borderId="1" xfId="0" applyFill="1" applyBorder="1"/>
    <xf numFmtId="0" fontId="0" fillId="6" borderId="4" xfId="0" applyFill="1" applyBorder="1"/>
    <xf numFmtId="9" fontId="4" fillId="4" borderId="8" xfId="0" applyNumberFormat="1" applyFont="1" applyFill="1" applyBorder="1"/>
    <xf numFmtId="9" fontId="4" fillId="4" borderId="7" xfId="0" applyNumberFormat="1" applyFont="1" applyFill="1" applyBorder="1"/>
    <xf numFmtId="0" fontId="4" fillId="4" borderId="8" xfId="0" applyFont="1" applyFill="1" applyBorder="1"/>
    <xf numFmtId="0" fontId="4" fillId="4" borderId="7" xfId="0" applyFont="1" applyFill="1" applyBorder="1"/>
    <xf numFmtId="0" fontId="0" fillId="4" borderId="8" xfId="0" applyFill="1" applyBorder="1"/>
    <xf numFmtId="0" fontId="0" fillId="4" borderId="7" xfId="0" applyFill="1" applyBorder="1"/>
    <xf numFmtId="9" fontId="4" fillId="5" borderId="8" xfId="0" applyNumberFormat="1" applyFont="1" applyFill="1" applyBorder="1"/>
    <xf numFmtId="9" fontId="4" fillId="5" borderId="7" xfId="0" applyNumberFormat="1" applyFont="1" applyFill="1" applyBorder="1"/>
    <xf numFmtId="0" fontId="4" fillId="5" borderId="8" xfId="0" applyFont="1" applyFill="1" applyBorder="1"/>
    <xf numFmtId="0" fontId="4" fillId="5" borderId="7" xfId="0" applyFont="1" applyFill="1" applyBorder="1"/>
    <xf numFmtId="0" fontId="0" fillId="5" borderId="8" xfId="0" applyFill="1" applyBorder="1"/>
    <xf numFmtId="0" fontId="0" fillId="5" borderId="7" xfId="0" applyFill="1" applyBorder="1"/>
    <xf numFmtId="9" fontId="4" fillId="6" borderId="8" xfId="0" applyNumberFormat="1" applyFont="1" applyFill="1" applyBorder="1"/>
    <xf numFmtId="0" fontId="4" fillId="6" borderId="8" xfId="0" applyFont="1" applyFill="1" applyBorder="1"/>
    <xf numFmtId="0" fontId="0" fillId="6" borderId="8" xfId="0" applyFill="1" applyBorder="1"/>
    <xf numFmtId="0" fontId="4" fillId="4" borderId="5" xfId="0" applyFont="1" applyFill="1" applyBorder="1"/>
    <xf numFmtId="0" fontId="4" fillId="4" borderId="2" xfId="0" applyFont="1" applyFill="1" applyBorder="1"/>
    <xf numFmtId="0" fontId="4" fillId="6" borderId="2" xfId="0" applyFont="1" applyFill="1" applyBorder="1"/>
    <xf numFmtId="0" fontId="4" fillId="6" borderId="6" xfId="0" applyFont="1" applyFill="1" applyBorder="1"/>
    <xf numFmtId="0" fontId="4" fillId="5" borderId="5" xfId="0" applyFont="1" applyFill="1" applyBorder="1"/>
    <xf numFmtId="0" fontId="4" fillId="5" borderId="6" xfId="0" applyFont="1" applyFill="1" applyBorder="1"/>
    <xf numFmtId="0" fontId="0" fillId="0" borderId="3" xfId="0" applyBorder="1"/>
    <xf numFmtId="0" fontId="2" fillId="0" borderId="8" xfId="0" applyFont="1" applyBorder="1"/>
    <xf numFmtId="0" fontId="2" fillId="0" borderId="0" xfId="0" applyFont="1" applyBorder="1"/>
    <xf numFmtId="0" fontId="2" fillId="6" borderId="7" xfId="0" applyFont="1" applyFill="1" applyBorder="1"/>
    <xf numFmtId="0" fontId="0" fillId="0" borderId="5" xfId="0" applyBorder="1"/>
    <xf numFmtId="0" fontId="0" fillId="0" borderId="2" xfId="0" applyBorder="1"/>
    <xf numFmtId="0" fontId="2" fillId="4" borderId="8" xfId="0" applyFont="1" applyFill="1" applyBorder="1"/>
    <xf numFmtId="0" fontId="2" fillId="4" borderId="7" xfId="0" applyFont="1" applyFill="1" applyBorder="1"/>
    <xf numFmtId="164" fontId="0" fillId="4" borderId="8" xfId="0" applyNumberFormat="1" applyFill="1" applyBorder="1"/>
    <xf numFmtId="164" fontId="0" fillId="4" borderId="7" xfId="0" applyNumberFormat="1" applyFill="1" applyBorder="1"/>
    <xf numFmtId="164" fontId="0" fillId="4" borderId="5" xfId="0" applyNumberFormat="1" applyFill="1" applyBorder="1"/>
    <xf numFmtId="164" fontId="0" fillId="4" borderId="6" xfId="0" applyNumberFormat="1" applyFill="1" applyBorder="1"/>
    <xf numFmtId="0" fontId="2" fillId="5" borderId="8" xfId="0" applyFont="1" applyFill="1" applyBorder="1"/>
    <xf numFmtId="0" fontId="2" fillId="5" borderId="7" xfId="0" applyFont="1" applyFill="1" applyBorder="1"/>
    <xf numFmtId="0" fontId="0" fillId="5" borderId="5" xfId="0" applyFill="1" applyBorder="1"/>
    <xf numFmtId="0" fontId="0" fillId="5" borderId="6" xfId="0" applyFill="1" applyBorder="1"/>
    <xf numFmtId="0" fontId="2" fillId="6" borderId="8" xfId="0" applyFont="1" applyFill="1" applyBorder="1"/>
    <xf numFmtId="0" fontId="0" fillId="6" borderId="5" xfId="0" applyFill="1" applyBorder="1"/>
    <xf numFmtId="0" fontId="0" fillId="6" borderId="6" xfId="0" applyFill="1" applyBorder="1"/>
    <xf numFmtId="0" fontId="4" fillId="0" borderId="9" xfId="0" applyFont="1" applyBorder="1"/>
    <xf numFmtId="0" fontId="4" fillId="0" borderId="10" xfId="0" applyFont="1" applyBorder="1"/>
    <xf numFmtId="0" fontId="4" fillId="0" borderId="11" xfId="0" applyFont="1" applyBorder="1"/>
    <xf numFmtId="2" fontId="4" fillId="0" borderId="1" xfId="0" applyNumberFormat="1" applyFont="1" applyBorder="1"/>
    <xf numFmtId="2" fontId="0" fillId="4" borderId="1" xfId="0" applyNumberFormat="1" applyFill="1" applyBorder="1"/>
    <xf numFmtId="2" fontId="0" fillId="5" borderId="1" xfId="0" applyNumberFormat="1" applyFill="1" applyBorder="1"/>
    <xf numFmtId="2" fontId="0" fillId="6" borderId="1" xfId="0" applyNumberFormat="1" applyFill="1" applyBorder="1"/>
    <xf numFmtId="2" fontId="0" fillId="6" borderId="4" xfId="0" applyNumberFormat="1" applyFill="1" applyBorder="1"/>
    <xf numFmtId="164" fontId="0" fillId="6" borderId="7" xfId="0" applyNumberFormat="1" applyFill="1" applyBorder="1"/>
    <xf numFmtId="0" fontId="6" fillId="0" borderId="8" xfId="0" applyFont="1" applyBorder="1"/>
    <xf numFmtId="164" fontId="5" fillId="6" borderId="7" xfId="0" applyNumberFormat="1" applyFont="1" applyFill="1" applyBorder="1"/>
    <xf numFmtId="164" fontId="4" fillId="6" borderId="7" xfId="0" applyNumberFormat="1" applyFont="1" applyFill="1" applyBorder="1"/>
    <xf numFmtId="167" fontId="0" fillId="5" borderId="0" xfId="0" applyNumberFormat="1" applyFill="1" applyBorder="1"/>
    <xf numFmtId="167" fontId="0" fillId="6" borderId="0" xfId="0" applyNumberFormat="1" applyFill="1" applyBorder="1"/>
    <xf numFmtId="167" fontId="0" fillId="6" borderId="7" xfId="0" applyNumberFormat="1" applyFill="1" applyBorder="1"/>
    <xf numFmtId="167" fontId="0" fillId="4" borderId="0" xfId="0" applyNumberFormat="1" applyFill="1" applyBorder="1"/>
    <xf numFmtId="167" fontId="0" fillId="4" borderId="2" xfId="0" applyNumberFormat="1" applyFill="1" applyBorder="1"/>
    <xf numFmtId="167" fontId="0" fillId="5" borderId="2" xfId="0" applyNumberFormat="1" applyFill="1" applyBorder="1"/>
    <xf numFmtId="167" fontId="0" fillId="6" borderId="2" xfId="0" applyNumberFormat="1" applyFill="1" applyBorder="1"/>
    <xf numFmtId="167" fontId="0" fillId="6" borderId="6" xfId="0" applyNumberFormat="1" applyFill="1" applyBorder="1"/>
    <xf numFmtId="0" fontId="4" fillId="0" borderId="4" xfId="0" applyFont="1" applyBorder="1"/>
    <xf numFmtId="0" fontId="6" fillId="0" borderId="7" xfId="0" applyFont="1" applyBorder="1"/>
    <xf numFmtId="0" fontId="4" fillId="0" borderId="6" xfId="0" applyFont="1" applyBorder="1"/>
    <xf numFmtId="14" fontId="4" fillId="0" borderId="3" xfId="0" applyNumberFormat="1" applyFont="1" applyBorder="1"/>
    <xf numFmtId="164" fontId="4" fillId="0" borderId="8" xfId="0" applyNumberFormat="1" applyFont="1" applyBorder="1"/>
    <xf numFmtId="164" fontId="6" fillId="0" borderId="8" xfId="0" applyNumberFormat="1" applyFont="1" applyBorder="1"/>
    <xf numFmtId="164" fontId="4" fillId="4" borderId="8" xfId="0" applyNumberFormat="1" applyFont="1" applyFill="1" applyBorder="1"/>
    <xf numFmtId="164" fontId="4" fillId="4" borderId="7" xfId="0" applyNumberFormat="1" applyFont="1" applyFill="1" applyBorder="1"/>
    <xf numFmtId="164" fontId="5" fillId="4" borderId="8" xfId="0" applyNumberFormat="1" applyFont="1" applyFill="1" applyBorder="1"/>
    <xf numFmtId="164" fontId="5" fillId="4" borderId="7" xfId="0" applyNumberFormat="1" applyFont="1" applyFill="1" applyBorder="1"/>
    <xf numFmtId="167" fontId="4" fillId="4" borderId="8" xfId="0" applyNumberFormat="1" applyFont="1" applyFill="1" applyBorder="1"/>
    <xf numFmtId="167" fontId="4" fillId="4" borderId="7" xfId="0" applyNumberFormat="1" applyFont="1" applyFill="1" applyBorder="1"/>
    <xf numFmtId="167" fontId="0" fillId="4" borderId="8" xfId="0" applyNumberFormat="1" applyFill="1" applyBorder="1"/>
    <xf numFmtId="167" fontId="0" fillId="4" borderId="7" xfId="0" applyNumberFormat="1" applyFill="1" applyBorder="1"/>
    <xf numFmtId="167" fontId="0" fillId="4" borderId="5" xfId="0" applyNumberFormat="1" applyFill="1" applyBorder="1"/>
    <xf numFmtId="167" fontId="0" fillId="4" borderId="6" xfId="0" applyNumberFormat="1" applyFill="1" applyBorder="1"/>
    <xf numFmtId="164" fontId="0" fillId="5" borderId="8" xfId="0" applyNumberFormat="1" applyFill="1" applyBorder="1"/>
    <xf numFmtId="164" fontId="0" fillId="5" borderId="7" xfId="0" applyNumberFormat="1" applyFill="1" applyBorder="1"/>
    <xf numFmtId="164" fontId="4" fillId="5" borderId="8" xfId="0" applyNumberFormat="1" applyFont="1" applyFill="1" applyBorder="1"/>
    <xf numFmtId="164" fontId="4" fillId="5" borderId="7" xfId="0" applyNumberFormat="1" applyFont="1" applyFill="1" applyBorder="1"/>
    <xf numFmtId="164" fontId="5" fillId="5" borderId="8" xfId="0" applyNumberFormat="1" applyFont="1" applyFill="1" applyBorder="1"/>
    <xf numFmtId="164" fontId="5" fillId="5" borderId="7" xfId="0" applyNumberFormat="1" applyFont="1" applyFill="1" applyBorder="1"/>
    <xf numFmtId="167" fontId="0" fillId="5" borderId="8" xfId="0" applyNumberFormat="1" applyFill="1" applyBorder="1"/>
    <xf numFmtId="167" fontId="0" fillId="5" borderId="7" xfId="0" applyNumberFormat="1" applyFill="1" applyBorder="1"/>
    <xf numFmtId="167" fontId="4" fillId="5" borderId="8" xfId="0" applyNumberFormat="1" applyFont="1" applyFill="1" applyBorder="1"/>
    <xf numFmtId="167" fontId="4" fillId="5" borderId="7" xfId="0" applyNumberFormat="1" applyFont="1" applyFill="1" applyBorder="1"/>
    <xf numFmtId="167" fontId="0" fillId="5" borderId="5" xfId="0" applyNumberFormat="1" applyFill="1" applyBorder="1"/>
    <xf numFmtId="167" fontId="0" fillId="5" borderId="6" xfId="0" applyNumberFormat="1" applyFill="1" applyBorder="1"/>
    <xf numFmtId="164" fontId="0" fillId="6" borderId="8" xfId="0" applyNumberFormat="1" applyFill="1" applyBorder="1"/>
    <xf numFmtId="164" fontId="5" fillId="6" borderId="8" xfId="0" applyNumberFormat="1" applyFont="1" applyFill="1" applyBorder="1"/>
    <xf numFmtId="164" fontId="4" fillId="6" borderId="8" xfId="0" applyNumberFormat="1" applyFont="1" applyFill="1" applyBorder="1"/>
    <xf numFmtId="167" fontId="0" fillId="6" borderId="8" xfId="0" applyNumberFormat="1" applyFill="1" applyBorder="1"/>
    <xf numFmtId="167" fontId="0" fillId="6" borderId="5" xfId="0" applyNumberFormat="1" applyFill="1" applyBorder="1"/>
    <xf numFmtId="0" fontId="4" fillId="4" borderId="6" xfId="0" applyFont="1" applyFill="1" applyBorder="1"/>
    <xf numFmtId="0" fontId="4" fillId="6" borderId="5" xfId="0" applyFont="1" applyFill="1" applyBorder="1"/>
    <xf numFmtId="0" fontId="0" fillId="4" borderId="3" xfId="0" applyFill="1" applyBorder="1"/>
    <xf numFmtId="0" fontId="0" fillId="4" borderId="4" xfId="0" applyFill="1" applyBorder="1"/>
    <xf numFmtId="0" fontId="0" fillId="5" borderId="3" xfId="0" applyFill="1" applyBorder="1"/>
    <xf numFmtId="0" fontId="0" fillId="5" borderId="4" xfId="0" applyFill="1" applyBorder="1"/>
    <xf numFmtId="0" fontId="0" fillId="6" borderId="3" xfId="0" applyFill="1" applyBorder="1"/>
    <xf numFmtId="3" fontId="4" fillId="0" borderId="0" xfId="0" applyNumberFormat="1" applyFont="1" applyBorder="1"/>
    <xf numFmtId="3" fontId="0" fillId="4" borderId="0" xfId="0" applyNumberFormat="1" applyFill="1" applyBorder="1"/>
    <xf numFmtId="3" fontId="0" fillId="5" borderId="0" xfId="0" applyNumberFormat="1" applyFill="1" applyBorder="1"/>
    <xf numFmtId="3" fontId="0" fillId="6" borderId="0" xfId="0" applyNumberFormat="1" applyFill="1" applyBorder="1"/>
    <xf numFmtId="3" fontId="0" fillId="6" borderId="7" xfId="0" applyNumberFormat="1" applyFill="1" applyBorder="1"/>
    <xf numFmtId="3" fontId="4" fillId="0" borderId="2" xfId="0" applyNumberFormat="1" applyFont="1" applyBorder="1"/>
    <xf numFmtId="3" fontId="0" fillId="4" borderId="2" xfId="0" applyNumberFormat="1" applyFill="1" applyBorder="1"/>
    <xf numFmtId="3" fontId="0" fillId="5" borderId="2" xfId="0" applyNumberFormat="1" applyFill="1" applyBorder="1"/>
    <xf numFmtId="3" fontId="0" fillId="6" borderId="2" xfId="0" applyNumberFormat="1" applyFill="1" applyBorder="1"/>
    <xf numFmtId="3" fontId="0" fillId="6" borderId="6" xfId="0" applyNumberFormat="1" applyFill="1" applyBorder="1"/>
    <xf numFmtId="3" fontId="4" fillId="0" borderId="8" xfId="0" applyNumberFormat="1" applyFont="1" applyBorder="1"/>
    <xf numFmtId="3" fontId="4" fillId="4" borderId="8" xfId="0" applyNumberFormat="1" applyFont="1" applyFill="1" applyBorder="1"/>
    <xf numFmtId="3" fontId="4" fillId="4" borderId="7" xfId="0" applyNumberFormat="1" applyFont="1" applyFill="1" applyBorder="1"/>
    <xf numFmtId="3" fontId="0" fillId="5" borderId="8" xfId="0" applyNumberFormat="1" applyFill="1" applyBorder="1"/>
    <xf numFmtId="3" fontId="0" fillId="5" borderId="7" xfId="0" applyNumberFormat="1" applyFill="1" applyBorder="1"/>
    <xf numFmtId="3" fontId="0" fillId="6" borderId="8" xfId="0" applyNumberFormat="1" applyFill="1" applyBorder="1"/>
    <xf numFmtId="3" fontId="0" fillId="4" borderId="8" xfId="0" applyNumberFormat="1" applyFill="1" applyBorder="1"/>
    <xf numFmtId="3" fontId="0" fillId="4" borderId="7" xfId="0" applyNumberFormat="1" applyFill="1" applyBorder="1"/>
    <xf numFmtId="3" fontId="4" fillId="5" borderId="8" xfId="0" applyNumberFormat="1" applyFont="1" applyFill="1" applyBorder="1"/>
    <xf numFmtId="3" fontId="4" fillId="5" borderId="7" xfId="0" applyNumberFormat="1" applyFont="1" applyFill="1" applyBorder="1"/>
    <xf numFmtId="3" fontId="4" fillId="0" borderId="5" xfId="0" applyNumberFormat="1" applyFont="1" applyBorder="1"/>
    <xf numFmtId="3" fontId="0" fillId="4" borderId="5" xfId="0" applyNumberFormat="1" applyFill="1" applyBorder="1"/>
    <xf numFmtId="3" fontId="0" fillId="4" borderId="6" xfId="0" applyNumberFormat="1" applyFill="1" applyBorder="1"/>
    <xf numFmtId="3" fontId="0" fillId="5" borderId="5" xfId="0" applyNumberFormat="1" applyFill="1" applyBorder="1"/>
    <xf numFmtId="3" fontId="0" fillId="5" borderId="6" xfId="0" applyNumberFormat="1" applyFill="1" applyBorder="1"/>
    <xf numFmtId="3" fontId="0" fillId="6" borderId="5" xfId="0" applyNumberFormat="1" applyFill="1" applyBorder="1"/>
    <xf numFmtId="167" fontId="2" fillId="4" borderId="8" xfId="0" applyNumberFormat="1" applyFont="1" applyFill="1" applyBorder="1"/>
    <xf numFmtId="167" fontId="2" fillId="4" borderId="7" xfId="0" applyNumberFormat="1" applyFont="1" applyFill="1" applyBorder="1"/>
    <xf numFmtId="167" fontId="2" fillId="5" borderId="8" xfId="0" applyNumberFormat="1" applyFont="1" applyFill="1" applyBorder="1"/>
    <xf numFmtId="167" fontId="2" fillId="5" borderId="7" xfId="0" applyNumberFormat="1" applyFont="1" applyFill="1" applyBorder="1"/>
    <xf numFmtId="167" fontId="2" fillId="6" borderId="8" xfId="0" applyNumberFormat="1" applyFont="1" applyFill="1" applyBorder="1"/>
    <xf numFmtId="167" fontId="2" fillId="6" borderId="7" xfId="0" applyNumberFormat="1" applyFont="1" applyFill="1" applyBorder="1"/>
    <xf numFmtId="167" fontId="4" fillId="6" borderId="8" xfId="0" applyNumberFormat="1" applyFont="1" applyFill="1" applyBorder="1"/>
    <xf numFmtId="167" fontId="4" fillId="6" borderId="7" xfId="0" applyNumberFormat="1" applyFont="1" applyFill="1" applyBorder="1"/>
    <xf numFmtId="167" fontId="0" fillId="8" borderId="0" xfId="0" applyNumberFormat="1" applyFill="1"/>
    <xf numFmtId="0" fontId="4" fillId="0" borderId="0" xfId="0" applyFont="1" applyFill="1"/>
    <xf numFmtId="164" fontId="2" fillId="0" borderId="0" xfId="0" applyNumberFormat="1" applyFont="1" applyFill="1" applyBorder="1"/>
    <xf numFmtId="168" fontId="2" fillId="0" borderId="0" xfId="0" applyNumberFormat="1" applyFont="1" applyFill="1" applyBorder="1"/>
    <xf numFmtId="0" fontId="2" fillId="0" borderId="2" xfId="0" applyFont="1" applyBorder="1" applyAlignment="1">
      <alignment horizontal="center"/>
    </xf>
    <xf numFmtId="169" fontId="2" fillId="0" borderId="0" xfId="0" applyNumberFormat="1" applyFont="1" applyFill="1" applyBorder="1"/>
    <xf numFmtId="0" fontId="10" fillId="0" borderId="0" xfId="0" applyFont="1" applyAlignment="1">
      <alignment horizontal="left" vertical="center" indent="1"/>
    </xf>
    <xf numFmtId="1" fontId="0" fillId="8" borderId="0" xfId="0" applyNumberFormat="1" applyFill="1"/>
    <xf numFmtId="0" fontId="2" fillId="0" borderId="0" xfId="0" applyFont="1" applyAlignment="1">
      <alignment wrapText="1"/>
    </xf>
    <xf numFmtId="0" fontId="0" fillId="2" borderId="5" xfId="0" applyFill="1" applyBorder="1" applyAlignment="1">
      <alignment wrapText="1"/>
    </xf>
    <xf numFmtId="0" fontId="2" fillId="2" borderId="2" xfId="0" applyFont="1" applyFill="1" applyBorder="1" applyAlignment="1">
      <alignment wrapText="1"/>
    </xf>
    <xf numFmtId="0" fontId="0" fillId="2" borderId="2" xfId="0" applyFill="1" applyBorder="1" applyAlignment="1">
      <alignment wrapText="1"/>
    </xf>
    <xf numFmtId="0" fontId="0" fillId="3" borderId="3" xfId="0" applyFill="1" applyBorder="1"/>
    <xf numFmtId="0" fontId="0" fillId="3" borderId="1" xfId="0" applyFill="1" applyBorder="1"/>
    <xf numFmtId="0" fontId="0" fillId="3" borderId="4" xfId="0" applyFill="1" applyBorder="1"/>
    <xf numFmtId="0" fontId="0" fillId="3" borderId="5" xfId="0" applyFill="1" applyBorder="1"/>
    <xf numFmtId="0" fontId="0" fillId="3" borderId="2" xfId="0" applyFill="1" applyBorder="1"/>
    <xf numFmtId="0" fontId="2" fillId="3" borderId="2" xfId="0" applyFont="1" applyFill="1" applyBorder="1"/>
    <xf numFmtId="0" fontId="0" fillId="3" borderId="6" xfId="0" applyFill="1" applyBorder="1"/>
    <xf numFmtId="0" fontId="2" fillId="3" borderId="5" xfId="0" applyFont="1" applyFill="1" applyBorder="1" applyAlignment="1">
      <alignment wrapText="1"/>
    </xf>
    <xf numFmtId="0" fontId="2" fillId="0" borderId="3" xfId="0" applyFont="1" applyBorder="1"/>
    <xf numFmtId="0" fontId="0" fillId="0" borderId="5" xfId="0" applyBorder="1" applyAlignment="1">
      <alignment horizontal="center"/>
    </xf>
    <xf numFmtId="0" fontId="0" fillId="0" borderId="6" xfId="0" applyBorder="1" applyAlignment="1">
      <alignment horizontal="center"/>
    </xf>
    <xf numFmtId="0" fontId="0" fillId="0" borderId="12" xfId="0" applyBorder="1" applyAlignment="1">
      <alignment wrapText="1"/>
    </xf>
    <xf numFmtId="0" fontId="0" fillId="0" borderId="13" xfId="0" applyBorder="1" applyAlignment="1">
      <alignment wrapText="1"/>
    </xf>
    <xf numFmtId="168" fontId="0" fillId="0" borderId="13" xfId="0" applyNumberFormat="1" applyBorder="1" applyAlignment="1">
      <alignment wrapText="1"/>
    </xf>
    <xf numFmtId="0" fontId="0" fillId="0" borderId="14" xfId="0" applyBorder="1" applyAlignment="1">
      <alignment wrapText="1"/>
    </xf>
    <xf numFmtId="0" fontId="2" fillId="8" borderId="0" xfId="0" applyFont="1" applyFill="1"/>
    <xf numFmtId="0" fontId="2" fillId="2" borderId="6" xfId="0" applyFont="1" applyFill="1" applyBorder="1" applyAlignment="1">
      <alignment wrapText="1"/>
    </xf>
    <xf numFmtId="11" fontId="0" fillId="0" borderId="0" xfId="0" applyNumberFormat="1" applyAlignment="1">
      <alignment wrapText="1"/>
    </xf>
    <xf numFmtId="22" fontId="0" fillId="0" borderId="0" xfId="0" applyNumberFormat="1"/>
    <xf numFmtId="170" fontId="2" fillId="0" borderId="0" xfId="0" applyNumberFormat="1" applyFont="1" applyFill="1" applyBorder="1"/>
    <xf numFmtId="0" fontId="7" fillId="0" borderId="0" xfId="0" applyFont="1" applyAlignment="1">
      <alignment vertical="top" wrapText="1"/>
    </xf>
    <xf numFmtId="0" fontId="7" fillId="0" borderId="0" xfId="0" applyFont="1" applyAlignment="1">
      <alignment vertical="top"/>
    </xf>
    <xf numFmtId="0" fontId="4" fillId="6" borderId="3" xfId="0" applyFont="1" applyFill="1" applyBorder="1" applyAlignment="1">
      <alignment horizontal="center"/>
    </xf>
    <xf numFmtId="0" fontId="4" fillId="6" borderId="4" xfId="0" applyFont="1" applyFill="1" applyBorder="1" applyAlignment="1">
      <alignment horizontal="center"/>
    </xf>
    <xf numFmtId="0" fontId="4" fillId="4" borderId="3" xfId="0" applyFont="1" applyFill="1" applyBorder="1" applyAlignment="1">
      <alignment horizontal="center"/>
    </xf>
    <xf numFmtId="0" fontId="4" fillId="4" borderId="1" xfId="0" applyFont="1" applyFill="1" applyBorder="1" applyAlignment="1">
      <alignment horizontal="center"/>
    </xf>
    <xf numFmtId="0" fontId="4" fillId="5" borderId="3" xfId="0" applyFont="1" applyFill="1" applyBorder="1" applyAlignment="1">
      <alignment horizontal="center"/>
    </xf>
    <xf numFmtId="0" fontId="4" fillId="5" borderId="4" xfId="0" applyFont="1" applyFill="1" applyBorder="1" applyAlignment="1">
      <alignment horizontal="center"/>
    </xf>
    <xf numFmtId="0" fontId="4" fillId="6" borderId="1" xfId="0" applyFont="1" applyFill="1" applyBorder="1" applyAlignment="1">
      <alignment horizontal="center"/>
    </xf>
    <xf numFmtId="0" fontId="4" fillId="4" borderId="4" xfId="0" applyFont="1" applyFill="1" applyBorder="1" applyAlignment="1">
      <alignment horizontal="center"/>
    </xf>
    <xf numFmtId="0" fontId="8" fillId="0" borderId="3" xfId="0" applyFont="1" applyBorder="1" applyAlignment="1">
      <alignment horizontal="center"/>
    </xf>
    <xf numFmtId="0" fontId="8" fillId="0" borderId="1" xfId="0" applyFont="1" applyBorder="1" applyAlignment="1">
      <alignment horizontal="center"/>
    </xf>
    <xf numFmtId="0" fontId="8" fillId="0" borderId="8" xfId="0" applyFont="1" applyBorder="1" applyAlignment="1">
      <alignment horizontal="center"/>
    </xf>
    <xf numFmtId="0" fontId="8" fillId="0" borderId="0" xfId="0" applyFont="1" applyBorder="1" applyAlignment="1">
      <alignment horizontal="center"/>
    </xf>
  </cellXfs>
  <cellStyles count="5">
    <cellStyle name="Normal" xfId="0" builtinId="0"/>
    <cellStyle name="Normal 2" xfId="1" xr:uid="{00000000-0005-0000-0000-000001000000}"/>
    <cellStyle name="Normal 2 2" xfId="4" xr:uid="{00000000-0005-0000-0000-000002000000}"/>
    <cellStyle name="Normal 2 3" xfId="3" xr:uid="{00000000-0005-0000-0000-000001000000}"/>
    <cellStyle name="Normal 3" xfId="2" xr:uid="{00000000-0005-0000-0000-000032000000}"/>
  </cellStyles>
  <dxfs count="1">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8.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5" Type="http://schemas.openxmlformats.org/officeDocument/2006/relationships/customXml" Target="../customXml/item7.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openxmlformats.org/officeDocument/2006/relationships/customXml" Target="../customXml/item6.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1</xdr:rowOff>
    </xdr:from>
    <xdr:to>
      <xdr:col>3</xdr:col>
      <xdr:colOff>472440</xdr:colOff>
      <xdr:row>5</xdr:row>
      <xdr:rowOff>57151</xdr:rowOff>
    </xdr:to>
    <xdr:sp macro="" textlink="">
      <xdr:nvSpPr>
        <xdr:cNvPr id="9" name="TextBox 8">
          <a:extLst>
            <a:ext uri="{FF2B5EF4-FFF2-40B4-BE49-F238E27FC236}">
              <a16:creationId xmlns:a16="http://schemas.microsoft.com/office/drawing/2014/main" id="{2A3A782D-23ED-4943-A794-6002B74705C8}"/>
            </a:ext>
          </a:extLst>
        </xdr:cNvPr>
        <xdr:cNvSpPr txBox="1"/>
      </xdr:nvSpPr>
      <xdr:spPr>
        <a:xfrm>
          <a:off x="3181350" y="257176"/>
          <a:ext cx="12883515" cy="1085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Using the MultiTestAnalyse</a:t>
          </a:r>
          <a:r>
            <a:rPr lang="en-US" sz="1600" baseline="0"/>
            <a:t> part of this spreadsheet makes it possible to calculate pressure at DHPG and compare it with measured pressure at DHPG for several test and all MultiPhase flow correlations at the same time</a:t>
          </a:r>
        </a:p>
        <a:p>
          <a:endParaRPr lang="en-US" sz="1600" baseline="0"/>
        </a:p>
        <a:p>
          <a:r>
            <a:rPr lang="en-US" sz="1600" baseline="0"/>
            <a:t>You can then see how each correlation behaves in comparison to measured data over time.</a:t>
          </a:r>
        </a:p>
        <a:p>
          <a:endParaRPr lang="en-US" sz="1600" baseline="0"/>
        </a:p>
        <a:p>
          <a:endParaRPr lang="en-US" sz="16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213360</xdr:colOff>
      <xdr:row>4</xdr:row>
      <xdr:rowOff>53340</xdr:rowOff>
    </xdr:from>
    <xdr:to>
      <xdr:col>8</xdr:col>
      <xdr:colOff>68580</xdr:colOff>
      <xdr:row>9</xdr:row>
      <xdr:rowOff>53340</xdr:rowOff>
    </xdr:to>
    <xdr:sp macro="[0]!CorrelationComparison" textlink="">
      <xdr:nvSpPr>
        <xdr:cNvPr id="2" name="Hexagon 1">
          <a:extLst>
            <a:ext uri="{FF2B5EF4-FFF2-40B4-BE49-F238E27FC236}">
              <a16:creationId xmlns:a16="http://schemas.microsoft.com/office/drawing/2014/main" id="{5A163761-CBB9-4629-857F-E65FB96352C1}"/>
            </a:ext>
          </a:extLst>
        </xdr:cNvPr>
        <xdr:cNvSpPr/>
      </xdr:nvSpPr>
      <xdr:spPr>
        <a:xfrm>
          <a:off x="5029200" y="723900"/>
          <a:ext cx="1074420" cy="838200"/>
        </a:xfrm>
        <a:prstGeom prst="hexagon">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2000" b="1"/>
            <a:t>Start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121920</xdr:colOff>
      <xdr:row>8</xdr:row>
      <xdr:rowOff>137160</xdr:rowOff>
    </xdr:from>
    <xdr:to>
      <xdr:col>18</xdr:col>
      <xdr:colOff>0</xdr:colOff>
      <xdr:row>30</xdr:row>
      <xdr:rowOff>182880</xdr:rowOff>
    </xdr:to>
    <xdr:pic>
      <xdr:nvPicPr>
        <xdr:cNvPr id="2558329" name="Picture 1">
          <a:extLst>
            <a:ext uri="{FF2B5EF4-FFF2-40B4-BE49-F238E27FC236}">
              <a16:creationId xmlns:a16="http://schemas.microsoft.com/office/drawing/2014/main" id="{029BEE28-35D6-4BEE-A7A3-0331728847B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21780" y="2209800"/>
          <a:ext cx="9631680" cy="6004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533400</xdr:colOff>
      <xdr:row>0</xdr:row>
      <xdr:rowOff>182880</xdr:rowOff>
    </xdr:from>
    <xdr:to>
      <xdr:col>1</xdr:col>
      <xdr:colOff>5768340</xdr:colOff>
      <xdr:row>9</xdr:row>
      <xdr:rowOff>15240</xdr:rowOff>
    </xdr:to>
    <xdr:sp macro="" textlink="">
      <xdr:nvSpPr>
        <xdr:cNvPr id="3" name="TextBox 2">
          <a:extLst>
            <a:ext uri="{FF2B5EF4-FFF2-40B4-BE49-F238E27FC236}">
              <a16:creationId xmlns:a16="http://schemas.microsoft.com/office/drawing/2014/main" id="{26CF2202-3169-4C8B-A662-A942997DA8AA}"/>
            </a:ext>
          </a:extLst>
        </xdr:cNvPr>
        <xdr:cNvSpPr txBox="1"/>
      </xdr:nvSpPr>
      <xdr:spPr>
        <a:xfrm>
          <a:off x="533400" y="182880"/>
          <a:ext cx="5844540" cy="21640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SingleTestAnalyse regnearket</a:t>
          </a:r>
          <a:r>
            <a:rPr lang="en-US" sz="1600" baseline="0"/>
            <a:t> gjør det mulig å enkelt simulere sensitiviteter på en enkelt test i Prosper. Er nå satt opp til å kjøre PE2, Dunson&amp;Ross Modified (max) of Fancher</a:t>
          </a:r>
          <a:r>
            <a:rPr lang="en-US" sz="1600" baseline="0">
              <a:solidFill>
                <a:schemeClr val="dk1"/>
              </a:solidFill>
              <a:effectLst/>
              <a:latin typeface="+mn-lt"/>
              <a:ea typeface="+mn-ea"/>
              <a:cs typeface="+mn-cs"/>
            </a:rPr>
            <a:t>&amp;</a:t>
          </a:r>
          <a:r>
            <a:rPr lang="en-US" sz="1600" baseline="0"/>
            <a:t>Brown (min)</a:t>
          </a:r>
        </a:p>
        <a:p>
          <a:endParaRPr lang="en-US" sz="1600" baseline="0"/>
        </a:p>
        <a:p>
          <a:r>
            <a:rPr lang="en-US" sz="1600" baseline="0"/>
            <a:t>En kan kjøre både rate sensitiviteter og PVT sensitiviter</a:t>
          </a:r>
        </a:p>
        <a:p>
          <a:endParaRPr lang="en-US" sz="1600" baseline="0"/>
        </a:p>
        <a:p>
          <a:r>
            <a:rPr lang="en-US" sz="1600" baseline="0"/>
            <a:t>Under er detaljert fremgansmåte for å komme i gang.</a:t>
          </a:r>
          <a:endParaRPr lang="en-US" sz="1600"/>
        </a:p>
      </xdr:txBody>
    </xdr:sp>
    <xdr:clientData/>
  </xdr:twoCellAnchor>
  <xdr:twoCellAnchor editAs="oneCell">
    <xdr:from>
      <xdr:col>2</xdr:col>
      <xdr:colOff>266700</xdr:colOff>
      <xdr:row>31</xdr:row>
      <xdr:rowOff>213360</xdr:rowOff>
    </xdr:from>
    <xdr:to>
      <xdr:col>15</xdr:col>
      <xdr:colOff>556260</xdr:colOff>
      <xdr:row>51</xdr:row>
      <xdr:rowOff>99060</xdr:rowOff>
    </xdr:to>
    <xdr:pic>
      <xdr:nvPicPr>
        <xdr:cNvPr id="2558331" name="Picture 3" descr="C:\Users\havl\AppData\Local\Temp\SNAGHTMLfd40cb.PNG">
          <a:extLst>
            <a:ext uri="{FF2B5EF4-FFF2-40B4-BE49-F238E27FC236}">
              <a16:creationId xmlns:a16="http://schemas.microsoft.com/office/drawing/2014/main" id="{DC06E8FE-F84E-4D79-AC8C-599DC8371F6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766560" y="8503920"/>
          <a:ext cx="8214360" cy="5326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3345180</xdr:colOff>
      <xdr:row>37</xdr:row>
      <xdr:rowOff>0</xdr:rowOff>
    </xdr:from>
    <xdr:to>
      <xdr:col>2</xdr:col>
      <xdr:colOff>464820</xdr:colOff>
      <xdr:row>46</xdr:row>
      <xdr:rowOff>205740</xdr:rowOff>
    </xdr:to>
    <xdr:cxnSp macro="">
      <xdr:nvCxnSpPr>
        <xdr:cNvPr id="7" name="Straight Arrow Connector 6">
          <a:extLst>
            <a:ext uri="{FF2B5EF4-FFF2-40B4-BE49-F238E27FC236}">
              <a16:creationId xmlns:a16="http://schemas.microsoft.com/office/drawing/2014/main" id="{FFA31562-8DDF-47F8-94A4-EC6C3F4ECC56}"/>
            </a:ext>
          </a:extLst>
        </xdr:cNvPr>
        <xdr:cNvCxnSpPr/>
      </xdr:nvCxnSpPr>
      <xdr:spPr>
        <a:xfrm>
          <a:off x="3954780" y="10104120"/>
          <a:ext cx="3009900" cy="2537460"/>
        </a:xfrm>
        <a:prstGeom prst="straightConnector1">
          <a:avLst/>
        </a:prstGeom>
        <a:ln>
          <a:tailEnd type="arrow"/>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1</xdr:row>
      <xdr:rowOff>129540</xdr:rowOff>
    </xdr:from>
    <xdr:to>
      <xdr:col>9</xdr:col>
      <xdr:colOff>53340</xdr:colOff>
      <xdr:row>5</xdr:row>
      <xdr:rowOff>38100</xdr:rowOff>
    </xdr:to>
    <xdr:sp macro="[0]!GetTest" textlink="">
      <xdr:nvSpPr>
        <xdr:cNvPr id="2" name="Right Arrow 1">
          <a:extLst>
            <a:ext uri="{FF2B5EF4-FFF2-40B4-BE49-F238E27FC236}">
              <a16:creationId xmlns:a16="http://schemas.microsoft.com/office/drawing/2014/main" id="{EDF7BC33-CAD7-48A5-8242-6EE43D1A9838}"/>
            </a:ext>
          </a:extLst>
        </xdr:cNvPr>
        <xdr:cNvSpPr/>
      </xdr:nvSpPr>
      <xdr:spPr>
        <a:xfrm>
          <a:off x="4991100" y="297180"/>
          <a:ext cx="1082040" cy="57912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t>Get Test</a:t>
          </a:r>
        </a:p>
      </xdr:txBody>
    </xdr:sp>
    <xdr:clientData/>
  </xdr:twoCellAnchor>
  <xdr:twoCellAnchor>
    <xdr:from>
      <xdr:col>7</xdr:col>
      <xdr:colOff>167640</xdr:colOff>
      <xdr:row>7</xdr:row>
      <xdr:rowOff>22860</xdr:rowOff>
    </xdr:from>
    <xdr:to>
      <xdr:col>9</xdr:col>
      <xdr:colOff>152400</xdr:colOff>
      <xdr:row>10</xdr:row>
      <xdr:rowOff>106680</xdr:rowOff>
    </xdr:to>
    <xdr:sp macro="[0]!GetPVT" textlink="">
      <xdr:nvSpPr>
        <xdr:cNvPr id="3" name="Right Arrow 2">
          <a:extLst>
            <a:ext uri="{FF2B5EF4-FFF2-40B4-BE49-F238E27FC236}">
              <a16:creationId xmlns:a16="http://schemas.microsoft.com/office/drawing/2014/main" id="{F157D83B-3AF3-4A9C-80F8-70D17A2365E1}"/>
            </a:ext>
          </a:extLst>
        </xdr:cNvPr>
        <xdr:cNvSpPr/>
      </xdr:nvSpPr>
      <xdr:spPr>
        <a:xfrm>
          <a:off x="4922520" y="1196340"/>
          <a:ext cx="1203960" cy="58674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t>Get PVT</a:t>
          </a:r>
        </a:p>
      </xdr:txBody>
    </xdr:sp>
    <xdr:clientData/>
  </xdr:twoCellAnchor>
  <xdr:twoCellAnchor>
    <xdr:from>
      <xdr:col>4</xdr:col>
      <xdr:colOff>152400</xdr:colOff>
      <xdr:row>15</xdr:row>
      <xdr:rowOff>152400</xdr:rowOff>
    </xdr:from>
    <xdr:to>
      <xdr:col>6</xdr:col>
      <xdr:colOff>83820</xdr:colOff>
      <xdr:row>19</xdr:row>
      <xdr:rowOff>38100</xdr:rowOff>
    </xdr:to>
    <xdr:sp macro="[0]!Singletestanalysis" textlink="">
      <xdr:nvSpPr>
        <xdr:cNvPr id="4" name="Right Arrow 3">
          <a:extLst>
            <a:ext uri="{FF2B5EF4-FFF2-40B4-BE49-F238E27FC236}">
              <a16:creationId xmlns:a16="http://schemas.microsoft.com/office/drawing/2014/main" id="{51659478-4AA6-4A89-8521-173C4AAC1756}"/>
            </a:ext>
          </a:extLst>
        </xdr:cNvPr>
        <xdr:cNvSpPr/>
      </xdr:nvSpPr>
      <xdr:spPr>
        <a:xfrm>
          <a:off x="2827020" y="2667000"/>
          <a:ext cx="1546860" cy="55626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t>Run</a:t>
          </a:r>
          <a:r>
            <a:rPr lang="en-US" sz="1400" b="1" baseline="0"/>
            <a:t> Sensitivity</a:t>
          </a:r>
          <a:endParaRPr lang="en-US" sz="1400" b="1"/>
        </a:p>
      </xdr:txBody>
    </xdr:sp>
    <xdr:clientData/>
  </xdr:twoCellAnchor>
  <xdr:twoCellAnchor>
    <xdr:from>
      <xdr:col>15</xdr:col>
      <xdr:colOff>167640</xdr:colOff>
      <xdr:row>12</xdr:row>
      <xdr:rowOff>114300</xdr:rowOff>
    </xdr:from>
    <xdr:to>
      <xdr:col>17</xdr:col>
      <xdr:colOff>220980</xdr:colOff>
      <xdr:row>16</xdr:row>
      <xdr:rowOff>15240</xdr:rowOff>
    </xdr:to>
    <xdr:sp macro="[0]!PVTanalysis" textlink="">
      <xdr:nvSpPr>
        <xdr:cNvPr id="5" name="Right Arrow 4">
          <a:extLst>
            <a:ext uri="{FF2B5EF4-FFF2-40B4-BE49-F238E27FC236}">
              <a16:creationId xmlns:a16="http://schemas.microsoft.com/office/drawing/2014/main" id="{ABFCF062-6847-46AC-AB30-94D923BDFBC8}"/>
            </a:ext>
          </a:extLst>
        </xdr:cNvPr>
        <xdr:cNvSpPr/>
      </xdr:nvSpPr>
      <xdr:spPr>
        <a:xfrm>
          <a:off x="10325100" y="2125980"/>
          <a:ext cx="1493520" cy="5715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t>Run PVT sens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R73"/>
  <sheetViews>
    <sheetView tabSelected="1" workbookViewId="0">
      <selection activeCell="B12" sqref="B12"/>
    </sheetView>
  </sheetViews>
  <sheetFormatPr defaultRowHeight="20.25" x14ac:dyDescent="0.3"/>
  <cols>
    <col min="1" max="1" width="47.7109375" style="24" bestFit="1" customWidth="1"/>
    <col min="2" max="2" width="85.85546875" style="25" customWidth="1"/>
    <col min="3" max="4" width="100.28515625" customWidth="1"/>
  </cols>
  <sheetData>
    <row r="6" spans="1:3" x14ac:dyDescent="0.3">
      <c r="B6" s="230"/>
    </row>
    <row r="11" spans="1:3" x14ac:dyDescent="0.3">
      <c r="B11" s="24" t="s">
        <v>102</v>
      </c>
    </row>
    <row r="12" spans="1:3" ht="182.25" x14ac:dyDescent="0.3">
      <c r="A12" s="24">
        <v>1</v>
      </c>
      <c r="B12" s="233" t="s">
        <v>136</v>
      </c>
      <c r="C12" s="233" t="s">
        <v>135</v>
      </c>
    </row>
    <row r="13" spans="1:3" ht="60.75" x14ac:dyDescent="0.3">
      <c r="A13" s="24">
        <v>2</v>
      </c>
      <c r="B13" s="233" t="s">
        <v>133</v>
      </c>
      <c r="C13" s="233" t="s">
        <v>134</v>
      </c>
    </row>
    <row r="14" spans="1:3" x14ac:dyDescent="0.3">
      <c r="A14" s="24">
        <v>3</v>
      </c>
      <c r="B14" s="233" t="s">
        <v>103</v>
      </c>
      <c r="C14" s="234"/>
    </row>
    <row r="15" spans="1:3" ht="40.5" x14ac:dyDescent="0.3">
      <c r="A15" s="24">
        <v>4</v>
      </c>
      <c r="B15" s="233" t="s">
        <v>132</v>
      </c>
      <c r="C15" s="234"/>
    </row>
    <row r="16" spans="1:3" ht="40.5" x14ac:dyDescent="0.3">
      <c r="A16" s="24">
        <v>5</v>
      </c>
      <c r="B16" s="233" t="s">
        <v>104</v>
      </c>
      <c r="C16" s="234"/>
    </row>
    <row r="17" spans="1:18" x14ac:dyDescent="0.3">
      <c r="B17" s="26"/>
      <c r="C17" s="24"/>
      <c r="R17" s="231"/>
    </row>
    <row r="18" spans="1:18" x14ac:dyDescent="0.3">
      <c r="B18" s="26"/>
      <c r="C18" s="24"/>
    </row>
    <row r="19" spans="1:18" ht="12.75" x14ac:dyDescent="0.2">
      <c r="A19" s="209" t="s">
        <v>105</v>
      </c>
      <c r="B19" s="209" t="s">
        <v>106</v>
      </c>
      <c r="C19" s="209" t="s">
        <v>107</v>
      </c>
    </row>
    <row r="20" spans="1:18" ht="153" x14ac:dyDescent="0.2">
      <c r="A20" s="209" t="s">
        <v>138</v>
      </c>
      <c r="B20" s="209" t="s">
        <v>139</v>
      </c>
      <c r="C20" s="209" t="s">
        <v>108</v>
      </c>
    </row>
    <row r="21" spans="1:18" ht="63.75" x14ac:dyDescent="0.2">
      <c r="A21" s="209" t="s">
        <v>128</v>
      </c>
      <c r="B21" s="209" t="s">
        <v>129</v>
      </c>
      <c r="C21" s="209" t="s">
        <v>108</v>
      </c>
    </row>
    <row r="22" spans="1:18" ht="25.5" x14ac:dyDescent="0.2">
      <c r="A22" s="209" t="s">
        <v>114</v>
      </c>
      <c r="B22" s="209" t="s">
        <v>116</v>
      </c>
      <c r="C22" s="209" t="s">
        <v>108</v>
      </c>
    </row>
    <row r="23" spans="1:18" ht="38.25" x14ac:dyDescent="0.2">
      <c r="A23" s="209" t="s">
        <v>115</v>
      </c>
      <c r="B23" s="209" t="s">
        <v>110</v>
      </c>
      <c r="C23" s="209" t="s">
        <v>108</v>
      </c>
    </row>
    <row r="24" spans="1:18" ht="127.5" x14ac:dyDescent="0.2">
      <c r="A24" s="209" t="s">
        <v>111</v>
      </c>
      <c r="B24" s="209" t="s">
        <v>109</v>
      </c>
      <c r="C24" s="209" t="s">
        <v>108</v>
      </c>
    </row>
    <row r="25" spans="1:18" x14ac:dyDescent="0.3">
      <c r="B25" s="207"/>
    </row>
    <row r="26" spans="1:18" x14ac:dyDescent="0.3">
      <c r="B26" s="207"/>
      <c r="C26" s="24"/>
    </row>
    <row r="27" spans="1:18" x14ac:dyDescent="0.3">
      <c r="B27" s="207"/>
      <c r="C27" s="24"/>
    </row>
    <row r="28" spans="1:18" x14ac:dyDescent="0.3">
      <c r="B28" s="207"/>
      <c r="C28" s="24"/>
    </row>
    <row r="29" spans="1:18" x14ac:dyDescent="0.3">
      <c r="B29" s="207"/>
      <c r="C29" s="24"/>
    </row>
    <row r="30" spans="1:18" x14ac:dyDescent="0.3">
      <c r="B30" s="207"/>
      <c r="C30" s="24"/>
    </row>
    <row r="31" spans="1:18" x14ac:dyDescent="0.3">
      <c r="B31" s="207"/>
      <c r="C31" s="24"/>
    </row>
    <row r="32" spans="1:18" x14ac:dyDescent="0.3">
      <c r="B32" s="207"/>
      <c r="C32" s="24"/>
    </row>
    <row r="33" spans="2:3" x14ac:dyDescent="0.3">
      <c r="B33" s="207"/>
      <c r="C33" s="24"/>
    </row>
    <row r="34" spans="2:3" x14ac:dyDescent="0.3">
      <c r="B34" s="26"/>
      <c r="C34" s="24"/>
    </row>
    <row r="35" spans="2:3" x14ac:dyDescent="0.3">
      <c r="B35" s="26"/>
    </row>
    <row r="36" spans="2:3" x14ac:dyDescent="0.3">
      <c r="B36" s="26"/>
      <c r="C36" s="24"/>
    </row>
    <row r="37" spans="2:3" x14ac:dyDescent="0.3">
      <c r="B37" s="26"/>
      <c r="C37" s="26"/>
    </row>
    <row r="38" spans="2:3" x14ac:dyDescent="0.3">
      <c r="B38" s="26"/>
      <c r="C38" s="26"/>
    </row>
    <row r="39" spans="2:3" x14ac:dyDescent="0.3">
      <c r="B39" s="26"/>
      <c r="C39" s="26"/>
    </row>
    <row r="40" spans="2:3" x14ac:dyDescent="0.3">
      <c r="B40" s="26"/>
      <c r="C40" s="24"/>
    </row>
    <row r="41" spans="2:3" x14ac:dyDescent="0.3">
      <c r="B41" s="26"/>
      <c r="C41" s="24"/>
    </row>
    <row r="42" spans="2:3" x14ac:dyDescent="0.3">
      <c r="B42" s="26"/>
      <c r="C42" s="24"/>
    </row>
    <row r="43" spans="2:3" x14ac:dyDescent="0.3">
      <c r="C43" s="24"/>
    </row>
    <row r="44" spans="2:3" x14ac:dyDescent="0.3">
      <c r="C44" s="24"/>
    </row>
    <row r="45" spans="2:3" x14ac:dyDescent="0.3">
      <c r="C45" s="24"/>
    </row>
    <row r="52" spans="2:2" x14ac:dyDescent="0.3">
      <c r="B52" s="26"/>
    </row>
    <row r="53" spans="2:2" x14ac:dyDescent="0.3">
      <c r="B53" s="26"/>
    </row>
    <row r="54" spans="2:2" x14ac:dyDescent="0.3">
      <c r="B54" s="26"/>
    </row>
    <row r="65" spans="2:2" x14ac:dyDescent="0.3">
      <c r="B65" s="207"/>
    </row>
    <row r="66" spans="2:2" x14ac:dyDescent="0.3">
      <c r="B66" s="207"/>
    </row>
    <row r="67" spans="2:2" x14ac:dyDescent="0.3">
      <c r="B67" s="207"/>
    </row>
    <row r="68" spans="2:2" x14ac:dyDescent="0.3">
      <c r="B68" s="207"/>
    </row>
    <row r="69" spans="2:2" x14ac:dyDescent="0.3">
      <c r="B69" s="207"/>
    </row>
    <row r="70" spans="2:2" x14ac:dyDescent="0.3">
      <c r="B70" s="207"/>
    </row>
    <row r="71" spans="2:2" x14ac:dyDescent="0.3">
      <c r="B71" s="207"/>
    </row>
    <row r="72" spans="2:2" x14ac:dyDescent="0.3">
      <c r="B72" s="207"/>
    </row>
    <row r="73" spans="2:2" x14ac:dyDescent="0.3">
      <c r="B73" s="207"/>
    </row>
  </sheetData>
  <phoneticPr fontId="1" type="noConversion"/>
  <pageMargins left="0.75" right="0.75" top="1" bottom="1" header="0.5" footer="0.5"/>
  <pageSetup orientation="portrait" horizontalDpi="1200" verticalDpi="12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Z346"/>
  <sheetViews>
    <sheetView workbookViewId="0">
      <selection activeCell="H20" sqref="H20"/>
    </sheetView>
  </sheetViews>
  <sheetFormatPr defaultRowHeight="12.75" x14ac:dyDescent="0.2"/>
  <cols>
    <col min="1" max="1" width="35" bestFit="1" customWidth="1"/>
    <col min="2" max="2" width="10.7109375" customWidth="1"/>
    <col min="18" max="18" width="15.42578125" bestFit="1" customWidth="1"/>
    <col min="20" max="20" width="11.85546875" customWidth="1"/>
    <col min="21" max="21" width="19.7109375" bestFit="1" customWidth="1"/>
    <col min="24" max="24" width="9.5703125" bestFit="1" customWidth="1"/>
    <col min="34" max="35" width="12.5703125" customWidth="1"/>
    <col min="36" max="36" width="11.42578125" customWidth="1"/>
  </cols>
  <sheetData>
    <row r="1" spans="1:50" x14ac:dyDescent="0.2">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row>
    <row r="2" spans="1:50" s="14" customFormat="1" ht="11.25" x14ac:dyDescent="0.2"/>
    <row r="3" spans="1:50" x14ac:dyDescent="0.2">
      <c r="A3" s="29" t="s">
        <v>112</v>
      </c>
      <c r="B3" s="228" t="s">
        <v>118</v>
      </c>
    </row>
    <row r="4" spans="1:50" x14ac:dyDescent="0.2">
      <c r="A4" s="29" t="s">
        <v>4</v>
      </c>
      <c r="B4" s="29" t="s">
        <v>119</v>
      </c>
      <c r="D4" s="15"/>
      <c r="E4" s="3"/>
    </row>
    <row r="5" spans="1:50" x14ac:dyDescent="0.2">
      <c r="A5" s="29" t="s">
        <v>5</v>
      </c>
      <c r="B5" s="29" t="s">
        <v>120</v>
      </c>
    </row>
    <row r="6" spans="1:50" x14ac:dyDescent="0.2">
      <c r="A6" s="228" t="s">
        <v>131</v>
      </c>
      <c r="B6" s="30" t="s">
        <v>130</v>
      </c>
    </row>
    <row r="7" spans="1:50" x14ac:dyDescent="0.2">
      <c r="A7" s="228" t="s">
        <v>117</v>
      </c>
      <c r="B7" s="29">
        <v>15.699999493</v>
      </c>
    </row>
    <row r="8" spans="1:50" x14ac:dyDescent="0.2">
      <c r="A8" s="27" t="s">
        <v>84</v>
      </c>
      <c r="C8" s="16"/>
    </row>
    <row r="9" spans="1:50" x14ac:dyDescent="0.2">
      <c r="A9" s="28" t="s">
        <v>39</v>
      </c>
      <c r="B9" s="28">
        <v>66</v>
      </c>
      <c r="C9" s="16"/>
    </row>
    <row r="10" spans="1:50" x14ac:dyDescent="0.2">
      <c r="A10" s="28" t="s">
        <v>40</v>
      </c>
      <c r="B10" s="28">
        <v>67</v>
      </c>
      <c r="C10" s="16">
        <v>67</v>
      </c>
      <c r="D10" t="s">
        <v>127</v>
      </c>
    </row>
    <row r="11" spans="1:50" x14ac:dyDescent="0.2">
      <c r="A11" s="29" t="s">
        <v>38</v>
      </c>
      <c r="B11" s="208">
        <v>57</v>
      </c>
      <c r="C11" s="16"/>
    </row>
    <row r="12" spans="1:50" x14ac:dyDescent="0.2">
      <c r="A12" s="29" t="s">
        <v>41</v>
      </c>
      <c r="B12" s="208">
        <v>49</v>
      </c>
      <c r="C12" s="16"/>
    </row>
    <row r="13" spans="1:50" x14ac:dyDescent="0.2">
      <c r="A13" s="29" t="s">
        <v>42</v>
      </c>
      <c r="B13" s="208">
        <v>51</v>
      </c>
      <c r="C13" s="16">
        <v>1</v>
      </c>
      <c r="D13">
        <v>1</v>
      </c>
      <c r="E13">
        <v>1</v>
      </c>
      <c r="F13">
        <v>1.0310519929999999</v>
      </c>
      <c r="G13">
        <v>0.93179863699999999</v>
      </c>
      <c r="H13">
        <v>1</v>
      </c>
      <c r="I13">
        <v>1</v>
      </c>
      <c r="J13">
        <v>1</v>
      </c>
      <c r="K13">
        <v>1</v>
      </c>
      <c r="L13">
        <v>1</v>
      </c>
      <c r="M13">
        <v>1</v>
      </c>
      <c r="N13">
        <v>0.93430268800000005</v>
      </c>
      <c r="O13">
        <v>1</v>
      </c>
      <c r="P13">
        <v>1</v>
      </c>
      <c r="Q13">
        <v>0.94396919000000001</v>
      </c>
      <c r="R13" s="18" t="s">
        <v>98</v>
      </c>
    </row>
    <row r="14" spans="1:50" ht="13.5" thickBot="1" x14ac:dyDescent="0.25">
      <c r="A14" s="228" t="s">
        <v>137</v>
      </c>
      <c r="B14" s="30">
        <v>20.000000201999999</v>
      </c>
      <c r="C14">
        <v>1</v>
      </c>
      <c r="D14">
        <v>1</v>
      </c>
      <c r="E14">
        <v>1</v>
      </c>
      <c r="F14">
        <v>1.404726624</v>
      </c>
      <c r="G14">
        <v>0.74453103499999995</v>
      </c>
      <c r="H14">
        <v>1</v>
      </c>
      <c r="I14">
        <v>1</v>
      </c>
      <c r="J14">
        <v>1</v>
      </c>
      <c r="K14">
        <v>1</v>
      </c>
      <c r="L14">
        <v>1</v>
      </c>
      <c r="M14">
        <v>1</v>
      </c>
      <c r="N14">
        <v>0.71423816699999998</v>
      </c>
      <c r="O14">
        <v>1</v>
      </c>
      <c r="P14">
        <v>1</v>
      </c>
      <c r="Q14">
        <v>0.96278983399999996</v>
      </c>
      <c r="R14" s="18" t="s">
        <v>99</v>
      </c>
    </row>
    <row r="15" spans="1:50" x14ac:dyDescent="0.2">
      <c r="A15" s="29" t="s">
        <v>101</v>
      </c>
      <c r="B15" s="30">
        <v>80.000000477</v>
      </c>
      <c r="C15" s="221" t="s">
        <v>6</v>
      </c>
      <c r="D15" s="1"/>
      <c r="E15" s="1"/>
      <c r="F15" s="1"/>
      <c r="G15" s="1"/>
      <c r="H15" s="1"/>
      <c r="I15" s="1" t="s">
        <v>31</v>
      </c>
      <c r="J15" s="1"/>
      <c r="K15" s="1" t="s">
        <v>37</v>
      </c>
      <c r="L15" s="1"/>
      <c r="M15" s="1"/>
      <c r="N15" s="1"/>
      <c r="O15" s="1"/>
      <c r="P15" s="1"/>
      <c r="Q15" s="1"/>
      <c r="R15" s="1"/>
      <c r="S15" s="54"/>
      <c r="T15" s="4" t="s">
        <v>18</v>
      </c>
      <c r="U15" s="5"/>
      <c r="V15" s="5"/>
      <c r="W15" s="5"/>
      <c r="X15" s="5"/>
      <c r="Y15" s="5"/>
      <c r="Z15" s="5"/>
      <c r="AA15" s="5"/>
      <c r="AB15" s="5"/>
      <c r="AC15" s="5"/>
      <c r="AD15" s="5"/>
      <c r="AE15" s="5"/>
      <c r="AF15" s="5"/>
      <c r="AG15" s="5"/>
      <c r="AH15" s="5"/>
      <c r="AI15" s="6"/>
      <c r="AJ15" s="213" t="s">
        <v>6</v>
      </c>
      <c r="AK15" s="214"/>
      <c r="AL15" s="214"/>
      <c r="AM15" s="214"/>
      <c r="AN15" s="214"/>
      <c r="AO15" s="214"/>
      <c r="AP15" s="214" t="s">
        <v>31</v>
      </c>
      <c r="AQ15" s="214"/>
      <c r="AR15" s="214" t="s">
        <v>37</v>
      </c>
      <c r="AS15" s="214"/>
      <c r="AT15" s="214"/>
      <c r="AU15" s="214"/>
      <c r="AV15" s="214"/>
      <c r="AW15" s="214"/>
      <c r="AX15" s="215"/>
    </row>
    <row r="16" spans="1:50" ht="13.5" thickBot="1" x14ac:dyDescent="0.25">
      <c r="C16" s="222" t="s">
        <v>23</v>
      </c>
      <c r="D16" s="2" t="s">
        <v>24</v>
      </c>
      <c r="E16" s="2" t="s">
        <v>25</v>
      </c>
      <c r="F16" s="2" t="s">
        <v>26</v>
      </c>
      <c r="G16" s="2" t="s">
        <v>27</v>
      </c>
      <c r="H16" s="2" t="s">
        <v>29</v>
      </c>
      <c r="I16" s="2" t="s">
        <v>30</v>
      </c>
      <c r="J16" s="2" t="s">
        <v>32</v>
      </c>
      <c r="K16" s="2" t="s">
        <v>33</v>
      </c>
      <c r="L16" s="2" t="s">
        <v>34</v>
      </c>
      <c r="M16" s="2" t="s">
        <v>35</v>
      </c>
      <c r="N16" s="2" t="s">
        <v>94</v>
      </c>
      <c r="O16" s="2" t="s">
        <v>28</v>
      </c>
      <c r="P16" s="2" t="s">
        <v>36</v>
      </c>
      <c r="Q16" s="2" t="s">
        <v>100</v>
      </c>
      <c r="R16" s="205" t="s">
        <v>97</v>
      </c>
      <c r="S16" s="223" t="s">
        <v>96</v>
      </c>
      <c r="T16" s="7"/>
      <c r="U16" s="8"/>
      <c r="V16" s="8"/>
      <c r="W16" s="8"/>
      <c r="X16" s="8"/>
      <c r="Y16" s="8"/>
      <c r="Z16" s="8"/>
      <c r="AA16" s="8"/>
      <c r="AB16" s="8"/>
      <c r="AC16" s="8"/>
      <c r="AD16" s="8"/>
      <c r="AE16" s="8"/>
      <c r="AF16" s="8"/>
      <c r="AG16" s="8"/>
      <c r="AH16" s="8"/>
      <c r="AI16" s="9"/>
      <c r="AJ16" s="216" t="s">
        <v>23</v>
      </c>
      <c r="AK16" s="217" t="s">
        <v>24</v>
      </c>
      <c r="AL16" s="217" t="s">
        <v>25</v>
      </c>
      <c r="AM16" s="217" t="s">
        <v>26</v>
      </c>
      <c r="AN16" s="217" t="s">
        <v>27</v>
      </c>
      <c r="AO16" s="217" t="s">
        <v>29</v>
      </c>
      <c r="AP16" s="217" t="s">
        <v>30</v>
      </c>
      <c r="AQ16" s="217" t="s">
        <v>32</v>
      </c>
      <c r="AR16" s="217" t="s">
        <v>33</v>
      </c>
      <c r="AS16" s="217" t="s">
        <v>34</v>
      </c>
      <c r="AT16" s="217" t="s">
        <v>35</v>
      </c>
      <c r="AU16" s="218" t="s">
        <v>94</v>
      </c>
      <c r="AV16" s="217" t="s">
        <v>28</v>
      </c>
      <c r="AW16" s="217" t="s">
        <v>36</v>
      </c>
      <c r="AX16" s="219" t="s">
        <v>100</v>
      </c>
    </row>
    <row r="17" spans="1:52" ht="51.75" thickBot="1" x14ac:dyDescent="0.25">
      <c r="A17" s="224" t="s">
        <v>19</v>
      </c>
      <c r="B17" s="227" t="s">
        <v>17</v>
      </c>
      <c r="C17" s="224" t="s">
        <v>7</v>
      </c>
      <c r="D17" s="225" t="s">
        <v>7</v>
      </c>
      <c r="E17" s="225" t="s">
        <v>7</v>
      </c>
      <c r="F17" s="225" t="s">
        <v>7</v>
      </c>
      <c r="G17" s="225" t="s">
        <v>7</v>
      </c>
      <c r="H17" s="225" t="s">
        <v>7</v>
      </c>
      <c r="I17" s="225" t="s">
        <v>7</v>
      </c>
      <c r="J17" s="225" t="s">
        <v>7</v>
      </c>
      <c r="K17" s="225" t="s">
        <v>7</v>
      </c>
      <c r="L17" s="225" t="s">
        <v>7</v>
      </c>
      <c r="M17" s="225" t="s">
        <v>7</v>
      </c>
      <c r="N17" s="225" t="s">
        <v>7</v>
      </c>
      <c r="O17" s="225" t="s">
        <v>7</v>
      </c>
      <c r="P17" s="225" t="s">
        <v>7</v>
      </c>
      <c r="Q17" s="225" t="s">
        <v>7</v>
      </c>
      <c r="R17" s="226">
        <v>43543.868888888886</v>
      </c>
      <c r="S17" s="227"/>
      <c r="T17" s="210" t="s">
        <v>8</v>
      </c>
      <c r="U17" s="211" t="s">
        <v>95</v>
      </c>
      <c r="V17" s="212" t="s">
        <v>9</v>
      </c>
      <c r="W17" s="212" t="s">
        <v>10</v>
      </c>
      <c r="X17" s="212" t="s">
        <v>11</v>
      </c>
      <c r="Y17" s="212" t="s">
        <v>0</v>
      </c>
      <c r="Z17" s="212" t="s">
        <v>12</v>
      </c>
      <c r="AA17" s="212" t="s">
        <v>13</v>
      </c>
      <c r="AB17" s="212" t="s">
        <v>3</v>
      </c>
      <c r="AC17" s="212" t="s">
        <v>2</v>
      </c>
      <c r="AD17" s="212" t="s">
        <v>14</v>
      </c>
      <c r="AE17" s="212" t="s">
        <v>15</v>
      </c>
      <c r="AF17" s="212" t="s">
        <v>16</v>
      </c>
      <c r="AG17" s="212"/>
      <c r="AH17" s="212"/>
      <c r="AI17" s="229" t="s">
        <v>124</v>
      </c>
      <c r="AJ17" s="220" t="s">
        <v>113</v>
      </c>
      <c r="AK17" s="217"/>
      <c r="AL17" s="217"/>
      <c r="AM17" s="217"/>
      <c r="AN17" s="217"/>
      <c r="AO17" s="217"/>
      <c r="AP17" s="217"/>
      <c r="AQ17" s="217"/>
      <c r="AR17" s="217"/>
      <c r="AS17" s="217"/>
      <c r="AT17" s="217"/>
      <c r="AU17" s="217"/>
      <c r="AV17" s="217"/>
      <c r="AW17" s="217"/>
      <c r="AX17" s="219"/>
    </row>
    <row r="18" spans="1:52" s="10" customFormat="1" x14ac:dyDescent="0.2">
      <c r="A18" s="10" t="s">
        <v>121</v>
      </c>
      <c r="B18" s="11">
        <v>2026.1923792969999</v>
      </c>
      <c r="C18" s="203">
        <v>142.41091657800001</v>
      </c>
      <c r="D18" s="203">
        <v>143.47413322</v>
      </c>
      <c r="E18" s="203">
        <v>132.74135654400001</v>
      </c>
      <c r="F18" s="203">
        <v>127.322870372</v>
      </c>
      <c r="G18" s="203">
        <v>127.399864069</v>
      </c>
      <c r="H18" s="203">
        <v>148.211602226</v>
      </c>
      <c r="I18" s="203">
        <v>151.919116406</v>
      </c>
      <c r="J18" s="203">
        <v>131.33988271999999</v>
      </c>
      <c r="K18" s="203">
        <v>123.010684656</v>
      </c>
      <c r="L18" s="203">
        <v>138.97094455600001</v>
      </c>
      <c r="M18" s="203">
        <v>144.92454029199999</v>
      </c>
      <c r="N18" s="203">
        <v>128.089028361</v>
      </c>
      <c r="O18" s="203">
        <v>133.149815348</v>
      </c>
      <c r="P18" s="203">
        <v>133.149815348</v>
      </c>
      <c r="Q18" s="203">
        <v>130.57533227299999</v>
      </c>
      <c r="R18" s="204">
        <v>43543.868935185186</v>
      </c>
      <c r="S18" s="10">
        <v>66</v>
      </c>
      <c r="T18" s="206">
        <v>42874</v>
      </c>
      <c r="U18" s="13" t="s">
        <v>125</v>
      </c>
      <c r="V18" s="13">
        <v>89.500002608000003</v>
      </c>
      <c r="W18" s="13">
        <v>65.800003253</v>
      </c>
      <c r="X18" s="232">
        <v>3.0999999049999998</v>
      </c>
      <c r="Y18" s="11">
        <v>840.000006257</v>
      </c>
      <c r="Z18" s="11">
        <v>2026.3999945309999</v>
      </c>
      <c r="AA18" s="13">
        <v>127.999999137</v>
      </c>
      <c r="AB18" s="13">
        <v>1</v>
      </c>
      <c r="AC18" s="13">
        <v>813.29997949200003</v>
      </c>
      <c r="AD18" s="13">
        <v>0</v>
      </c>
      <c r="AE18" s="13">
        <v>0</v>
      </c>
      <c r="AF18" s="11">
        <v>1531.999958203</v>
      </c>
      <c r="AG18" s="13"/>
      <c r="AH18" s="13"/>
      <c r="AI18" s="13">
        <v>14.947781733999999</v>
      </c>
      <c r="AJ18" s="13">
        <v>14.410917441000009</v>
      </c>
      <c r="AK18" s="13">
        <v>15.474134082999996</v>
      </c>
      <c r="AL18" s="13">
        <v>4.7413574070000095</v>
      </c>
      <c r="AM18" s="13">
        <v>-0.67712876500000618</v>
      </c>
      <c r="AN18" s="13">
        <v>-0.60013506800000016</v>
      </c>
      <c r="AO18" s="13">
        <v>20.211603088999993</v>
      </c>
      <c r="AP18" s="13">
        <v>23.919117268999997</v>
      </c>
      <c r="AQ18" s="13">
        <v>3.3398835829999882</v>
      </c>
      <c r="AR18" s="13">
        <v>-4.9893144810000081</v>
      </c>
      <c r="AS18" s="13">
        <v>10.970945419000003</v>
      </c>
      <c r="AT18" s="13">
        <v>16.924541154999986</v>
      </c>
      <c r="AU18" s="13">
        <v>8.9029224000000795E-2</v>
      </c>
      <c r="AV18" s="13">
        <v>5.149816211000001</v>
      </c>
      <c r="AW18" s="13">
        <v>5.149816211000001</v>
      </c>
      <c r="AX18" s="13">
        <v>2.5753331359999834</v>
      </c>
    </row>
    <row r="19" spans="1:52" s="10" customFormat="1" x14ac:dyDescent="0.2">
      <c r="A19" s="10" t="s">
        <v>121</v>
      </c>
      <c r="B19" s="11">
        <v>2026.1923792969999</v>
      </c>
      <c r="C19" s="11">
        <v>141.93207940799999</v>
      </c>
      <c r="D19" s="11">
        <v>143.00257628</v>
      </c>
      <c r="E19" s="11">
        <v>132.29385382199999</v>
      </c>
      <c r="F19" s="11">
        <v>126.50309117099999</v>
      </c>
      <c r="G19" s="11">
        <v>126.09282283</v>
      </c>
      <c r="H19" s="11">
        <v>147.70274357299999</v>
      </c>
      <c r="I19" s="11">
        <v>149.92004086599999</v>
      </c>
      <c r="J19" s="11">
        <v>130.33734027700001</v>
      </c>
      <c r="K19" s="11">
        <v>121.962718624</v>
      </c>
      <c r="L19" s="11">
        <v>138.28193175999999</v>
      </c>
      <c r="M19" s="11">
        <v>142.36846399699999</v>
      </c>
      <c r="N19" s="11">
        <v>126.201209891</v>
      </c>
      <c r="O19" s="11">
        <v>131.92497759</v>
      </c>
      <c r="P19" s="11">
        <v>131.92497759</v>
      </c>
      <c r="Q19" s="11">
        <v>126.762856527</v>
      </c>
      <c r="R19" s="204">
        <v>43543.868946759256</v>
      </c>
      <c r="S19" s="10">
        <v>67</v>
      </c>
      <c r="T19" s="206">
        <v>42874</v>
      </c>
      <c r="U19" s="13" t="s">
        <v>126</v>
      </c>
      <c r="V19" s="13">
        <v>87.900001528000004</v>
      </c>
      <c r="W19" s="13">
        <v>65.899999174000001</v>
      </c>
      <c r="X19" s="232">
        <v>3.0999999049999998</v>
      </c>
      <c r="Y19" s="11">
        <v>937.99999534300002</v>
      </c>
      <c r="Z19" s="11">
        <v>2026.3999945309999</v>
      </c>
      <c r="AA19" s="13">
        <v>126.500002333</v>
      </c>
      <c r="AB19" s="13">
        <v>1</v>
      </c>
      <c r="AC19" s="13">
        <v>811.69998808599996</v>
      </c>
      <c r="AD19" s="13">
        <v>0</v>
      </c>
      <c r="AE19" s="13">
        <v>0</v>
      </c>
      <c r="AF19" s="11">
        <v>1531.999958203</v>
      </c>
      <c r="AG19" s="13"/>
      <c r="AH19" s="13"/>
      <c r="AI19" s="13">
        <v>16.545661857999999</v>
      </c>
      <c r="AJ19" s="203">
        <v>15.432077074999995</v>
      </c>
      <c r="AK19" s="203">
        <v>16.502573947000002</v>
      </c>
      <c r="AL19" s="203">
        <v>5.7938514889999908</v>
      </c>
      <c r="AM19" s="203">
        <v>3.0888379999964855E-3</v>
      </c>
      <c r="AN19" s="203">
        <v>-0.40717950299999472</v>
      </c>
      <c r="AO19" s="203">
        <v>21.202741239999995</v>
      </c>
      <c r="AP19" s="203">
        <v>23.420038532999996</v>
      </c>
      <c r="AQ19" s="203">
        <v>3.8373379440000122</v>
      </c>
      <c r="AR19" s="203">
        <v>-4.5372837089999933</v>
      </c>
      <c r="AS19" s="203">
        <v>11.781929426999994</v>
      </c>
      <c r="AT19" s="203">
        <v>15.868461663999994</v>
      </c>
      <c r="AU19" s="203">
        <v>-0.29879244199999277</v>
      </c>
      <c r="AV19" s="203">
        <v>5.4249752569999998</v>
      </c>
      <c r="AW19" s="203">
        <v>5.4249752569999998</v>
      </c>
      <c r="AX19" s="203">
        <v>0.2628541939999991</v>
      </c>
    </row>
    <row r="20" spans="1:52" s="10" customFormat="1" x14ac:dyDescent="0.2">
      <c r="B20" s="11"/>
      <c r="C20" s="11"/>
      <c r="D20" s="11"/>
      <c r="E20" s="11"/>
      <c r="F20" s="11"/>
      <c r="G20" s="11"/>
      <c r="H20" s="11"/>
      <c r="I20" s="11"/>
      <c r="J20" s="11"/>
      <c r="K20" s="11"/>
      <c r="L20" s="11"/>
      <c r="M20" s="11"/>
      <c r="N20" s="11"/>
      <c r="O20" s="11"/>
      <c r="P20" s="11"/>
      <c r="Q20" s="11"/>
      <c r="R20" s="204"/>
      <c r="T20" s="206"/>
      <c r="U20" s="13"/>
      <c r="V20" s="13"/>
      <c r="W20" s="13"/>
      <c r="X20" s="13"/>
      <c r="Y20" s="11"/>
      <c r="Z20" s="11"/>
      <c r="AA20" s="13"/>
      <c r="AB20" s="13"/>
      <c r="AC20" s="13"/>
      <c r="AD20" s="13"/>
      <c r="AE20" s="13"/>
      <c r="AF20" s="11"/>
      <c r="AG20" s="13"/>
      <c r="AH20" s="13"/>
      <c r="AI20" s="13"/>
      <c r="AJ20" s="203"/>
      <c r="AK20" s="203"/>
      <c r="AL20" s="203"/>
      <c r="AM20" s="203"/>
      <c r="AN20" s="203"/>
      <c r="AO20" s="203"/>
      <c r="AP20" s="203"/>
      <c r="AQ20" s="203"/>
      <c r="AR20" s="203"/>
      <c r="AS20" s="203"/>
      <c r="AT20" s="203"/>
      <c r="AU20" s="203"/>
      <c r="AV20" s="203"/>
      <c r="AW20" s="203"/>
      <c r="AX20" s="203"/>
    </row>
    <row r="21" spans="1:52" s="10" customFormat="1" x14ac:dyDescent="0.2">
      <c r="B21" s="11"/>
      <c r="C21" s="11"/>
      <c r="D21" s="11"/>
      <c r="E21" s="11"/>
      <c r="F21" s="11"/>
      <c r="G21" s="11"/>
      <c r="H21" s="11"/>
      <c r="I21" s="11"/>
      <c r="J21" s="11"/>
      <c r="K21" s="11"/>
      <c r="L21" s="11"/>
      <c r="M21" s="11"/>
      <c r="N21" s="11"/>
      <c r="O21" s="11"/>
      <c r="P21" s="11"/>
      <c r="Q21" s="11"/>
      <c r="R21" s="204"/>
      <c r="T21" s="206"/>
      <c r="U21" s="13"/>
      <c r="V21" s="13"/>
      <c r="W21" s="13"/>
      <c r="X21" s="13"/>
      <c r="Y21" s="11"/>
      <c r="Z21" s="11"/>
      <c r="AA21" s="13"/>
      <c r="AB21" s="13"/>
      <c r="AC21" s="13"/>
      <c r="AD21" s="13"/>
      <c r="AE21" s="13"/>
      <c r="AF21" s="11"/>
      <c r="AG21" s="13"/>
      <c r="AH21" s="13"/>
      <c r="AI21" s="13"/>
      <c r="AJ21" s="203"/>
      <c r="AK21" s="203"/>
      <c r="AL21" s="203"/>
      <c r="AM21" s="203"/>
      <c r="AN21" s="203"/>
      <c r="AO21" s="203"/>
      <c r="AP21" s="203"/>
      <c r="AQ21" s="203"/>
      <c r="AR21" s="203"/>
      <c r="AS21" s="203"/>
      <c r="AT21" s="203"/>
      <c r="AU21" s="203"/>
      <c r="AV21" s="203"/>
      <c r="AW21" s="203"/>
      <c r="AX21" s="203"/>
    </row>
    <row r="22" spans="1:52" s="10" customFormat="1" x14ac:dyDescent="0.2">
      <c r="B22" s="11"/>
      <c r="C22" s="11"/>
      <c r="D22" s="11"/>
      <c r="E22" s="11"/>
      <c r="F22" s="11"/>
      <c r="G22" s="11"/>
      <c r="H22" s="11"/>
      <c r="I22" s="11"/>
      <c r="J22" s="11"/>
      <c r="K22" s="11"/>
      <c r="L22" s="11"/>
      <c r="M22" s="11"/>
      <c r="N22" s="11"/>
      <c r="O22" s="11"/>
      <c r="P22" s="11"/>
      <c r="Q22" s="11"/>
      <c r="R22" s="204"/>
      <c r="T22" s="206"/>
      <c r="U22" s="13"/>
      <c r="V22" s="13"/>
      <c r="W22" s="13"/>
      <c r="X22" s="13"/>
      <c r="Y22" s="11"/>
      <c r="Z22" s="11"/>
      <c r="AA22" s="13"/>
      <c r="AB22" s="13"/>
      <c r="AC22" s="13"/>
      <c r="AD22" s="13"/>
      <c r="AE22" s="13"/>
      <c r="AF22" s="11"/>
      <c r="AG22" s="13"/>
      <c r="AH22" s="13"/>
      <c r="AI22" s="13"/>
      <c r="AJ22" s="203"/>
      <c r="AK22" s="203"/>
      <c r="AL22" s="203"/>
      <c r="AM22" s="203"/>
      <c r="AN22" s="203"/>
      <c r="AO22" s="203"/>
      <c r="AP22" s="203"/>
      <c r="AQ22" s="203"/>
      <c r="AR22" s="203"/>
      <c r="AS22" s="203"/>
      <c r="AT22" s="203"/>
      <c r="AU22" s="203"/>
      <c r="AV22" s="203"/>
      <c r="AW22" s="203"/>
      <c r="AX22" s="203"/>
    </row>
    <row r="23" spans="1:52" s="10" customFormat="1" x14ac:dyDescent="0.2">
      <c r="A23" s="10" t="s">
        <v>122</v>
      </c>
      <c r="B23" s="11">
        <v>2026.1923792969999</v>
      </c>
      <c r="C23" s="11">
        <v>49.498005046999999</v>
      </c>
      <c r="D23" s="11">
        <v>50.567344657</v>
      </c>
      <c r="E23" s="11">
        <v>39.084897820999998</v>
      </c>
      <c r="F23" s="11">
        <v>35.692045301</v>
      </c>
      <c r="G23" s="11">
        <v>32.507552556999997</v>
      </c>
      <c r="H23" s="11">
        <v>52.133945050000001</v>
      </c>
      <c r="I23" s="11">
        <v>58.565405857000002</v>
      </c>
      <c r="J23" s="11">
        <v>35.725248202000003</v>
      </c>
      <c r="K23" s="11">
        <v>29.878958012999998</v>
      </c>
      <c r="L23" s="11">
        <v>47.041579536999997</v>
      </c>
      <c r="M23" s="11">
        <v>51.450032624000002</v>
      </c>
      <c r="N23" s="11">
        <v>33.791873586000001</v>
      </c>
      <c r="O23" s="11">
        <v>36.805891105999997</v>
      </c>
      <c r="P23" s="11">
        <v>36.805891105999997</v>
      </c>
      <c r="Q23" s="11">
        <v>35.820320436999999</v>
      </c>
      <c r="R23" s="204"/>
      <c r="S23" s="10">
        <v>66</v>
      </c>
      <c r="T23" s="206"/>
      <c r="U23" s="13"/>
      <c r="V23" s="13"/>
      <c r="W23" s="13"/>
      <c r="X23" s="13"/>
      <c r="Y23" s="11"/>
      <c r="Z23" s="11"/>
      <c r="AA23" s="13"/>
      <c r="AB23" s="13"/>
      <c r="AC23" s="13"/>
      <c r="AD23" s="13"/>
      <c r="AE23" s="13"/>
      <c r="AF23" s="11"/>
      <c r="AG23" s="13"/>
      <c r="AH23" s="13"/>
      <c r="AI23" s="13"/>
      <c r="AJ23" s="203"/>
      <c r="AK23" s="203"/>
      <c r="AL23" s="203"/>
      <c r="AM23" s="203"/>
      <c r="AN23" s="203"/>
      <c r="AO23" s="203"/>
      <c r="AP23" s="203"/>
      <c r="AQ23" s="203"/>
      <c r="AR23" s="203"/>
      <c r="AS23" s="203"/>
      <c r="AT23" s="203"/>
      <c r="AU23" s="203"/>
      <c r="AV23" s="203"/>
      <c r="AW23" s="203"/>
      <c r="AX23" s="203"/>
    </row>
    <row r="24" spans="1:52" s="10" customFormat="1" x14ac:dyDescent="0.2">
      <c r="A24" s="10" t="s">
        <v>122</v>
      </c>
      <c r="B24" s="11">
        <v>2026.1923792969999</v>
      </c>
      <c r="C24" s="11">
        <v>49.889205916999998</v>
      </c>
      <c r="D24" s="11">
        <v>50.966852565000003</v>
      </c>
      <c r="E24" s="11">
        <v>39.344625303000001</v>
      </c>
      <c r="F24" s="11">
        <v>34.444996527999997</v>
      </c>
      <c r="G24" s="11">
        <v>31.376086911000002</v>
      </c>
      <c r="H24" s="11">
        <v>51.694029759000003</v>
      </c>
      <c r="I24" s="11">
        <v>57.273350110000003</v>
      </c>
      <c r="J24" s="11">
        <v>34.507038399999999</v>
      </c>
      <c r="K24" s="11">
        <v>29.504602670000001</v>
      </c>
      <c r="L24" s="11">
        <v>47.390837021999999</v>
      </c>
      <c r="M24" s="11">
        <v>49.543933623000001</v>
      </c>
      <c r="N24" s="11">
        <v>32.480895551000003</v>
      </c>
      <c r="O24" s="11">
        <v>35.541811643999999</v>
      </c>
      <c r="P24" s="11">
        <v>35.541811643999999</v>
      </c>
      <c r="Q24" s="11">
        <v>32.496407071</v>
      </c>
      <c r="R24" s="204"/>
      <c r="S24" s="10">
        <v>67</v>
      </c>
      <c r="T24" s="206"/>
      <c r="U24" s="13"/>
      <c r="V24" s="13"/>
      <c r="W24" s="13"/>
      <c r="X24" s="13"/>
      <c r="Y24" s="11"/>
      <c r="Z24" s="11"/>
      <c r="AA24" s="13"/>
      <c r="AB24" s="13"/>
      <c r="AC24" s="13"/>
      <c r="AD24" s="13"/>
      <c r="AE24" s="13"/>
      <c r="AF24" s="11"/>
      <c r="AG24" s="13"/>
      <c r="AH24" s="13"/>
      <c r="AI24" s="13"/>
      <c r="AJ24" s="203"/>
      <c r="AK24" s="203"/>
      <c r="AL24" s="203"/>
      <c r="AM24" s="203"/>
      <c r="AN24" s="203"/>
      <c r="AO24" s="203"/>
      <c r="AP24" s="203"/>
      <c r="AQ24" s="203"/>
      <c r="AR24" s="203"/>
      <c r="AS24" s="203"/>
      <c r="AT24" s="203"/>
      <c r="AU24" s="203"/>
      <c r="AV24" s="203"/>
      <c r="AW24" s="203"/>
      <c r="AX24" s="203"/>
      <c r="AY24" s="13"/>
      <c r="AZ24" s="13"/>
    </row>
    <row r="25" spans="1:52" s="10" customFormat="1" x14ac:dyDescent="0.2">
      <c r="B25" s="11"/>
      <c r="C25" s="11"/>
      <c r="D25" s="11"/>
      <c r="E25" s="11"/>
      <c r="F25" s="11"/>
      <c r="G25" s="11"/>
      <c r="H25" s="11"/>
      <c r="I25" s="11"/>
      <c r="J25" s="11"/>
      <c r="K25" s="11"/>
      <c r="L25" s="11"/>
      <c r="M25" s="11"/>
      <c r="N25" s="11"/>
      <c r="O25" s="11"/>
      <c r="P25" s="11"/>
      <c r="Q25" s="11"/>
      <c r="R25" s="204"/>
      <c r="T25" s="206"/>
      <c r="U25" s="13"/>
      <c r="V25" s="13"/>
      <c r="W25" s="13"/>
      <c r="X25" s="13"/>
      <c r="Y25" s="11"/>
      <c r="Z25" s="11"/>
      <c r="AA25" s="13"/>
      <c r="AB25" s="13"/>
      <c r="AC25" s="13"/>
      <c r="AD25" s="13"/>
      <c r="AE25" s="13"/>
      <c r="AF25" s="11"/>
      <c r="AG25" s="13"/>
      <c r="AH25" s="13"/>
      <c r="AI25" s="13"/>
      <c r="AJ25" s="203"/>
      <c r="AK25" s="203"/>
      <c r="AL25" s="203"/>
      <c r="AM25" s="203"/>
      <c r="AN25" s="203"/>
      <c r="AO25" s="203"/>
      <c r="AP25" s="203"/>
      <c r="AQ25" s="203"/>
      <c r="AR25" s="203"/>
      <c r="AS25" s="203"/>
      <c r="AT25" s="203"/>
      <c r="AU25" s="203"/>
      <c r="AV25" s="203"/>
      <c r="AW25" s="203"/>
      <c r="AX25" s="203"/>
      <c r="AY25" s="13"/>
      <c r="AZ25" s="13"/>
    </row>
    <row r="26" spans="1:52" s="10" customFormat="1" x14ac:dyDescent="0.2">
      <c r="B26" s="11"/>
      <c r="C26" s="11"/>
      <c r="D26" s="11"/>
      <c r="E26" s="11"/>
      <c r="F26" s="11"/>
      <c r="G26" s="11"/>
      <c r="H26" s="11"/>
      <c r="I26" s="11"/>
      <c r="J26" s="11"/>
      <c r="K26" s="11"/>
      <c r="L26" s="11"/>
      <c r="M26" s="11"/>
      <c r="N26" s="11"/>
      <c r="O26" s="11"/>
      <c r="P26" s="11"/>
      <c r="Q26" s="11"/>
      <c r="R26" s="204"/>
      <c r="T26" s="206"/>
      <c r="U26" s="13"/>
      <c r="V26" s="13"/>
      <c r="W26" s="13"/>
      <c r="X26" s="13"/>
      <c r="Y26" s="11"/>
      <c r="Z26" s="11"/>
      <c r="AA26" s="13"/>
      <c r="AB26" s="13"/>
      <c r="AC26" s="13"/>
      <c r="AD26" s="13"/>
      <c r="AE26" s="13"/>
      <c r="AF26" s="11"/>
      <c r="AG26" s="13"/>
      <c r="AH26" s="13"/>
      <c r="AI26" s="13"/>
      <c r="AJ26" s="203"/>
      <c r="AK26" s="203"/>
      <c r="AL26" s="203"/>
      <c r="AM26" s="203"/>
      <c r="AN26" s="203"/>
      <c r="AO26" s="203"/>
      <c r="AP26" s="203"/>
      <c r="AQ26" s="203"/>
      <c r="AR26" s="203"/>
      <c r="AS26" s="203"/>
      <c r="AT26" s="203"/>
      <c r="AU26" s="203"/>
      <c r="AV26" s="203"/>
      <c r="AW26" s="203"/>
      <c r="AX26" s="203"/>
      <c r="AY26" s="13"/>
      <c r="AZ26" s="13"/>
    </row>
    <row r="27" spans="1:52" s="10" customFormat="1" x14ac:dyDescent="0.2">
      <c r="B27" s="11"/>
      <c r="C27" s="11"/>
      <c r="D27" s="11"/>
      <c r="E27" s="11"/>
      <c r="F27" s="11"/>
      <c r="G27" s="11"/>
      <c r="H27" s="11"/>
      <c r="I27" s="11"/>
      <c r="J27" s="11"/>
      <c r="K27" s="11"/>
      <c r="L27" s="11"/>
      <c r="M27" s="11"/>
      <c r="N27" s="11"/>
      <c r="O27" s="11"/>
      <c r="P27" s="11"/>
      <c r="Q27" s="11"/>
      <c r="R27" s="204"/>
      <c r="T27" s="206"/>
      <c r="U27" s="13"/>
      <c r="V27" s="13"/>
      <c r="W27" s="13"/>
      <c r="X27" s="13"/>
      <c r="Y27" s="11"/>
      <c r="Z27" s="11"/>
      <c r="AA27" s="13"/>
      <c r="AB27" s="13"/>
      <c r="AC27" s="13"/>
      <c r="AD27" s="13"/>
      <c r="AE27" s="13"/>
      <c r="AF27" s="11"/>
      <c r="AG27" s="13"/>
      <c r="AH27" s="13"/>
      <c r="AI27" s="13"/>
      <c r="AJ27" s="203"/>
      <c r="AK27" s="203"/>
      <c r="AL27" s="203"/>
      <c r="AM27" s="203"/>
      <c r="AN27" s="203"/>
      <c r="AO27" s="203"/>
      <c r="AP27" s="203"/>
      <c r="AQ27" s="203"/>
      <c r="AR27" s="203"/>
      <c r="AS27" s="203"/>
      <c r="AT27" s="203"/>
      <c r="AU27" s="203"/>
      <c r="AV27" s="203"/>
      <c r="AW27" s="203"/>
      <c r="AX27" s="203"/>
      <c r="AY27" s="13"/>
      <c r="AZ27" s="13"/>
    </row>
    <row r="28" spans="1:52" s="10" customFormat="1" x14ac:dyDescent="0.2">
      <c r="A28" s="10" t="s">
        <v>123</v>
      </c>
      <c r="B28" s="11">
        <v>2026.1923792969999</v>
      </c>
      <c r="C28" s="11">
        <v>3.2220143370000001</v>
      </c>
      <c r="D28" s="11">
        <v>3.2164857800000002</v>
      </c>
      <c r="E28" s="11">
        <v>3.9637677729999998</v>
      </c>
      <c r="F28" s="11">
        <v>1.9476971810000001</v>
      </c>
      <c r="G28" s="11">
        <v>5.2100822109999996</v>
      </c>
      <c r="H28" s="11">
        <v>6.388145014</v>
      </c>
      <c r="I28" s="11">
        <v>3.6640887100000001</v>
      </c>
      <c r="J28" s="11">
        <v>5.9232097169999998</v>
      </c>
      <c r="K28" s="11">
        <v>3.445888262</v>
      </c>
      <c r="L28" s="11">
        <v>2.23758436</v>
      </c>
      <c r="M28" s="11">
        <v>3.7843595379999999</v>
      </c>
      <c r="N28" s="11">
        <v>4.6002108860000002</v>
      </c>
      <c r="O28" s="11">
        <v>6.6515883599999999</v>
      </c>
      <c r="P28" s="11">
        <v>6.6515883599999999</v>
      </c>
      <c r="Q28" s="11">
        <v>5.0753621769999997</v>
      </c>
      <c r="R28" s="204"/>
      <c r="S28" s="10">
        <v>66</v>
      </c>
      <c r="T28" s="206"/>
      <c r="U28" s="13"/>
      <c r="V28" s="13"/>
      <c r="W28" s="13"/>
      <c r="X28" s="13"/>
      <c r="Y28" s="11"/>
      <c r="Z28" s="11"/>
      <c r="AA28" s="13"/>
      <c r="AB28" s="13"/>
      <c r="AC28" s="13"/>
      <c r="AD28" s="13"/>
      <c r="AE28" s="13"/>
      <c r="AF28" s="11"/>
      <c r="AG28" s="13"/>
      <c r="AH28" s="13"/>
      <c r="AI28" s="13"/>
      <c r="AJ28" s="203"/>
      <c r="AK28" s="203"/>
      <c r="AL28" s="203"/>
      <c r="AM28" s="203"/>
      <c r="AN28" s="203"/>
      <c r="AO28" s="203"/>
      <c r="AP28" s="203"/>
      <c r="AQ28" s="203"/>
      <c r="AR28" s="203"/>
      <c r="AS28" s="203"/>
      <c r="AT28" s="203"/>
      <c r="AU28" s="203"/>
      <c r="AV28" s="203"/>
      <c r="AW28" s="203"/>
      <c r="AX28" s="203"/>
      <c r="AY28" s="13"/>
      <c r="AZ28" s="13"/>
    </row>
    <row r="29" spans="1:52" s="10" customFormat="1" x14ac:dyDescent="0.2">
      <c r="A29" s="10" t="s">
        <v>123</v>
      </c>
      <c r="B29" s="11">
        <v>2026.1923792969999</v>
      </c>
      <c r="C29" s="11">
        <v>3.9019999620000001</v>
      </c>
      <c r="D29" s="11">
        <v>3.8953241379999999</v>
      </c>
      <c r="E29" s="11">
        <v>4.8058963339999998</v>
      </c>
      <c r="F29" s="11">
        <v>3.9270980830000002</v>
      </c>
      <c r="G29" s="11">
        <v>6.5872193389999998</v>
      </c>
      <c r="H29" s="11">
        <v>7.8697487160000001</v>
      </c>
      <c r="I29" s="11">
        <v>4.5074352900000001</v>
      </c>
      <c r="J29" s="11">
        <v>7.6890880079999997</v>
      </c>
      <c r="K29" s="11">
        <v>4.3239332409999998</v>
      </c>
      <c r="L29" s="11">
        <v>2.7488385449999999</v>
      </c>
      <c r="M29" s="11">
        <v>4.6844143259999997</v>
      </c>
      <c r="N29" s="11">
        <v>5.5712479220000004</v>
      </c>
      <c r="O29" s="11">
        <v>8.2409136969999999</v>
      </c>
      <c r="P29" s="11">
        <v>8.2409136969999999</v>
      </c>
      <c r="Q29" s="11">
        <v>6.1373405480000001</v>
      </c>
      <c r="R29" s="204"/>
      <c r="S29" s="10">
        <v>67</v>
      </c>
      <c r="T29" s="206"/>
      <c r="U29" s="13"/>
      <c r="V29" s="13"/>
      <c r="W29" s="13"/>
      <c r="X29" s="13"/>
      <c r="Y29" s="11"/>
      <c r="Z29" s="11"/>
      <c r="AA29" s="13"/>
      <c r="AB29" s="13"/>
      <c r="AC29" s="13"/>
      <c r="AD29" s="13"/>
      <c r="AE29" s="13"/>
      <c r="AF29" s="11"/>
      <c r="AG29" s="13"/>
      <c r="AH29" s="13"/>
      <c r="AI29" s="13"/>
      <c r="AJ29" s="203"/>
      <c r="AK29" s="203"/>
      <c r="AL29" s="203"/>
      <c r="AM29" s="203"/>
      <c r="AN29" s="203"/>
      <c r="AO29" s="203"/>
      <c r="AP29" s="203"/>
      <c r="AQ29" s="203"/>
      <c r="AR29" s="203"/>
      <c r="AS29" s="203"/>
      <c r="AT29" s="203"/>
      <c r="AU29" s="203"/>
      <c r="AV29" s="203"/>
      <c r="AW29" s="203"/>
      <c r="AX29" s="203"/>
      <c r="AY29" s="13"/>
      <c r="AZ29" s="13"/>
    </row>
    <row r="30" spans="1:52" s="10" customFormat="1" x14ac:dyDescent="0.2">
      <c r="B30" s="11"/>
      <c r="C30" s="11"/>
      <c r="D30" s="11"/>
      <c r="E30" s="11"/>
      <c r="F30" s="11"/>
      <c r="G30" s="11"/>
      <c r="H30" s="11"/>
      <c r="I30" s="11"/>
      <c r="J30" s="11"/>
      <c r="K30" s="11"/>
      <c r="L30" s="11"/>
      <c r="M30" s="11"/>
      <c r="N30" s="11"/>
      <c r="O30" s="11"/>
      <c r="P30" s="11"/>
      <c r="Q30" s="11"/>
      <c r="R30" s="204"/>
      <c r="T30" s="206"/>
      <c r="U30" s="13"/>
      <c r="V30" s="13"/>
      <c r="W30" s="13"/>
      <c r="X30" s="13"/>
      <c r="Y30" s="11"/>
      <c r="Z30" s="11"/>
      <c r="AA30" s="13"/>
      <c r="AB30" s="13"/>
      <c r="AC30" s="13"/>
      <c r="AD30" s="13"/>
      <c r="AE30" s="13"/>
      <c r="AF30" s="11"/>
      <c r="AG30" s="13"/>
      <c r="AH30" s="13"/>
      <c r="AI30" s="13"/>
      <c r="AJ30" s="203"/>
      <c r="AK30" s="203"/>
      <c r="AL30" s="203"/>
      <c r="AM30" s="203"/>
      <c r="AN30" s="203"/>
      <c r="AO30" s="203"/>
      <c r="AP30" s="203"/>
      <c r="AQ30" s="203"/>
      <c r="AR30" s="203"/>
      <c r="AS30" s="203"/>
      <c r="AT30" s="203"/>
      <c r="AU30" s="203"/>
      <c r="AV30" s="203"/>
      <c r="AW30" s="203"/>
      <c r="AX30" s="203"/>
      <c r="AY30" s="13"/>
      <c r="AZ30" s="13"/>
    </row>
    <row r="31" spans="1:52" s="10" customFormat="1" x14ac:dyDescent="0.2">
      <c r="B31" s="11"/>
      <c r="C31" s="11"/>
      <c r="D31" s="11"/>
      <c r="E31" s="11"/>
      <c r="F31" s="11"/>
      <c r="G31" s="11"/>
      <c r="H31" s="11"/>
      <c r="I31" s="11"/>
      <c r="J31" s="11"/>
      <c r="K31" s="11"/>
      <c r="L31" s="11"/>
      <c r="M31" s="11"/>
      <c r="N31" s="11"/>
      <c r="O31" s="11"/>
      <c r="P31" s="11"/>
      <c r="Q31" s="11"/>
      <c r="R31" s="204"/>
      <c r="T31" s="206"/>
      <c r="U31" s="13"/>
      <c r="V31" s="13"/>
      <c r="W31" s="13"/>
      <c r="X31" s="13"/>
      <c r="Y31" s="11"/>
      <c r="Z31" s="11"/>
      <c r="AA31" s="13"/>
      <c r="AB31" s="13"/>
      <c r="AC31" s="13"/>
      <c r="AD31" s="13"/>
      <c r="AE31" s="13"/>
      <c r="AF31" s="11"/>
      <c r="AG31" s="13"/>
      <c r="AH31" s="13"/>
      <c r="AI31" s="13"/>
      <c r="AJ31" s="203"/>
      <c r="AK31" s="203"/>
      <c r="AL31" s="203"/>
      <c r="AM31" s="203"/>
      <c r="AN31" s="203"/>
      <c r="AO31" s="203"/>
      <c r="AP31" s="203"/>
      <c r="AQ31" s="203"/>
      <c r="AR31" s="203"/>
      <c r="AS31" s="203"/>
      <c r="AT31" s="203"/>
      <c r="AU31" s="203"/>
      <c r="AV31" s="203"/>
      <c r="AW31" s="203"/>
      <c r="AX31" s="203"/>
      <c r="AY31" s="13"/>
      <c r="AZ31" s="13"/>
    </row>
    <row r="32" spans="1:52" s="10" customFormat="1" x14ac:dyDescent="0.2">
      <c r="B32" s="11"/>
      <c r="C32" s="11"/>
      <c r="D32" s="11"/>
      <c r="E32" s="11"/>
      <c r="F32" s="11"/>
      <c r="G32" s="11"/>
      <c r="H32" s="11"/>
      <c r="I32" s="11"/>
      <c r="J32" s="11"/>
      <c r="K32" s="11"/>
      <c r="L32" s="11"/>
      <c r="M32" s="11"/>
      <c r="N32" s="11"/>
      <c r="O32" s="11"/>
      <c r="P32" s="11"/>
      <c r="Q32" s="11"/>
      <c r="R32" s="204"/>
      <c r="T32" s="206"/>
      <c r="U32" s="13"/>
      <c r="V32" s="13"/>
      <c r="W32" s="13"/>
      <c r="X32" s="13"/>
      <c r="Y32" s="11"/>
      <c r="Z32" s="11"/>
      <c r="AA32" s="13"/>
      <c r="AB32" s="13"/>
      <c r="AC32" s="13"/>
      <c r="AD32" s="13"/>
      <c r="AE32" s="13"/>
      <c r="AF32" s="11"/>
      <c r="AG32" s="13"/>
      <c r="AH32" s="13"/>
      <c r="AI32" s="13"/>
      <c r="AJ32" s="203"/>
      <c r="AK32" s="203"/>
      <c r="AL32" s="203"/>
      <c r="AM32" s="203"/>
      <c r="AN32" s="203"/>
      <c r="AO32" s="203"/>
      <c r="AP32" s="203"/>
      <c r="AQ32" s="203"/>
      <c r="AR32" s="203"/>
      <c r="AS32" s="203"/>
      <c r="AT32" s="203"/>
      <c r="AU32" s="203"/>
      <c r="AV32" s="203"/>
      <c r="AW32" s="203"/>
      <c r="AX32" s="203"/>
      <c r="AY32" s="13"/>
      <c r="AZ32" s="13"/>
    </row>
    <row r="33" spans="2:52" s="10" customFormat="1" x14ac:dyDescent="0.2">
      <c r="B33" s="11"/>
      <c r="C33" s="11"/>
      <c r="D33" s="11"/>
      <c r="E33" s="11"/>
      <c r="F33" s="11"/>
      <c r="G33" s="11"/>
      <c r="H33" s="11"/>
      <c r="I33" s="11"/>
      <c r="J33" s="11"/>
      <c r="K33" s="11"/>
      <c r="L33" s="11"/>
      <c r="M33" s="11"/>
      <c r="N33" s="11"/>
      <c r="O33" s="11"/>
      <c r="P33" s="11"/>
      <c r="Q33" s="11"/>
      <c r="R33" s="204"/>
      <c r="T33" s="206"/>
      <c r="U33" s="13"/>
      <c r="V33" s="13"/>
      <c r="W33" s="13"/>
      <c r="X33" s="13"/>
      <c r="Y33" s="11"/>
      <c r="Z33" s="11"/>
      <c r="AA33" s="13"/>
      <c r="AB33" s="13"/>
      <c r="AC33" s="13"/>
      <c r="AD33" s="13"/>
      <c r="AE33" s="13"/>
      <c r="AF33" s="11"/>
      <c r="AG33" s="13"/>
      <c r="AH33" s="13"/>
      <c r="AI33" s="13"/>
      <c r="AJ33" s="203"/>
      <c r="AK33" s="203"/>
      <c r="AL33" s="203"/>
      <c r="AM33" s="203"/>
      <c r="AN33" s="203"/>
      <c r="AO33" s="203"/>
      <c r="AP33" s="203"/>
      <c r="AQ33" s="203"/>
      <c r="AR33" s="203"/>
      <c r="AS33" s="203"/>
      <c r="AT33" s="203"/>
      <c r="AU33" s="203"/>
      <c r="AV33" s="203"/>
      <c r="AW33" s="203"/>
      <c r="AX33" s="203"/>
      <c r="AY33" s="13"/>
      <c r="AZ33" s="13"/>
    </row>
    <row r="34" spans="2:52" s="10" customFormat="1" x14ac:dyDescent="0.2">
      <c r="B34" s="11"/>
      <c r="C34" s="11"/>
      <c r="D34" s="11"/>
      <c r="E34" s="11"/>
      <c r="F34" s="11"/>
      <c r="G34" s="11"/>
      <c r="H34" s="11"/>
      <c r="I34" s="11"/>
      <c r="J34" s="11"/>
      <c r="K34" s="11"/>
      <c r="L34" s="11"/>
      <c r="M34" s="11"/>
      <c r="N34" s="11"/>
      <c r="O34" s="11"/>
      <c r="P34" s="11"/>
      <c r="Q34" s="11"/>
      <c r="R34" s="204"/>
      <c r="T34" s="206"/>
      <c r="U34" s="13"/>
      <c r="V34" s="13"/>
      <c r="W34" s="13"/>
      <c r="X34" s="13"/>
      <c r="Y34" s="11"/>
      <c r="Z34" s="11"/>
      <c r="AA34" s="13"/>
      <c r="AB34" s="13"/>
      <c r="AC34" s="13"/>
      <c r="AD34" s="13"/>
      <c r="AE34" s="13"/>
      <c r="AF34" s="11"/>
      <c r="AG34" s="13"/>
      <c r="AH34" s="13"/>
      <c r="AI34" s="13"/>
      <c r="AJ34" s="203"/>
      <c r="AK34" s="203"/>
      <c r="AL34" s="203"/>
      <c r="AM34" s="203"/>
      <c r="AN34" s="203"/>
      <c r="AO34" s="203"/>
      <c r="AP34" s="203"/>
      <c r="AQ34" s="203"/>
      <c r="AR34" s="203"/>
      <c r="AS34" s="203"/>
      <c r="AT34" s="203"/>
      <c r="AU34" s="203"/>
      <c r="AV34" s="203"/>
      <c r="AW34" s="203"/>
      <c r="AX34" s="203"/>
      <c r="AY34" s="13"/>
      <c r="AZ34" s="13"/>
    </row>
    <row r="35" spans="2:52" s="10" customFormat="1" x14ac:dyDescent="0.2">
      <c r="B35" s="11"/>
      <c r="C35" s="11"/>
      <c r="D35" s="11"/>
      <c r="E35" s="11"/>
      <c r="F35" s="11"/>
      <c r="G35" s="11"/>
      <c r="H35" s="11"/>
      <c r="I35" s="11"/>
      <c r="J35" s="11"/>
      <c r="K35" s="11"/>
      <c r="L35" s="11"/>
      <c r="M35" s="11"/>
      <c r="N35" s="11"/>
      <c r="O35" s="11"/>
      <c r="P35" s="11"/>
      <c r="Q35" s="11"/>
      <c r="R35" s="204"/>
      <c r="T35" s="206"/>
      <c r="U35" s="13"/>
      <c r="V35" s="13"/>
      <c r="W35" s="13"/>
      <c r="X35" s="13"/>
      <c r="Y35" s="11"/>
      <c r="Z35" s="11"/>
      <c r="AA35" s="13"/>
      <c r="AB35" s="13"/>
      <c r="AC35" s="13"/>
      <c r="AD35" s="13"/>
      <c r="AE35" s="13"/>
      <c r="AF35" s="11"/>
      <c r="AG35" s="13"/>
      <c r="AH35" s="13"/>
      <c r="AI35" s="13"/>
      <c r="AJ35" s="203"/>
      <c r="AK35" s="203"/>
      <c r="AL35" s="203"/>
      <c r="AM35" s="203"/>
      <c r="AN35" s="203"/>
      <c r="AO35" s="203"/>
      <c r="AP35" s="203"/>
      <c r="AQ35" s="203"/>
      <c r="AR35" s="203"/>
      <c r="AS35" s="203"/>
      <c r="AT35" s="203"/>
      <c r="AU35" s="203"/>
      <c r="AV35" s="203"/>
      <c r="AW35" s="203"/>
      <c r="AX35" s="203"/>
      <c r="AY35" s="13"/>
      <c r="AZ35" s="13"/>
    </row>
    <row r="36" spans="2:52" s="10" customFormat="1" x14ac:dyDescent="0.2">
      <c r="B36" s="11"/>
      <c r="C36" s="11"/>
      <c r="D36" s="11"/>
      <c r="E36" s="11"/>
      <c r="F36" s="11"/>
      <c r="G36" s="11"/>
      <c r="H36" s="11"/>
      <c r="I36" s="11"/>
      <c r="J36" s="11"/>
      <c r="K36" s="11"/>
      <c r="L36" s="11"/>
      <c r="M36" s="11"/>
      <c r="N36" s="11"/>
      <c r="O36" s="11"/>
      <c r="P36" s="11"/>
      <c r="Q36" s="11"/>
      <c r="R36" s="204"/>
      <c r="T36" s="206"/>
      <c r="U36" s="13"/>
      <c r="V36" s="13"/>
      <c r="W36" s="13"/>
      <c r="X36" s="13"/>
      <c r="Y36" s="11"/>
      <c r="Z36" s="11"/>
      <c r="AA36" s="13"/>
      <c r="AB36" s="13"/>
      <c r="AC36" s="13"/>
      <c r="AD36" s="13"/>
      <c r="AE36" s="13"/>
      <c r="AF36" s="11"/>
      <c r="AG36" s="13"/>
      <c r="AH36" s="13"/>
      <c r="AI36" s="13"/>
      <c r="AJ36" s="203"/>
      <c r="AK36" s="203"/>
      <c r="AL36" s="203"/>
      <c r="AM36" s="203"/>
      <c r="AN36" s="203"/>
      <c r="AO36" s="203"/>
      <c r="AP36" s="203"/>
      <c r="AQ36" s="203"/>
      <c r="AR36" s="203"/>
      <c r="AS36" s="203"/>
      <c r="AT36" s="203"/>
      <c r="AU36" s="203"/>
      <c r="AV36" s="203"/>
      <c r="AW36" s="203"/>
      <c r="AX36" s="203"/>
      <c r="AY36" s="13"/>
      <c r="AZ36" s="13"/>
    </row>
    <row r="37" spans="2:52" s="10" customFormat="1" x14ac:dyDescent="0.2">
      <c r="B37" s="11"/>
      <c r="C37" s="11"/>
      <c r="D37" s="11"/>
      <c r="E37" s="11"/>
      <c r="F37" s="11"/>
      <c r="G37" s="11"/>
      <c r="H37" s="11"/>
      <c r="I37" s="11"/>
      <c r="J37" s="11"/>
      <c r="K37" s="11"/>
      <c r="L37" s="11"/>
      <c r="M37" s="11"/>
      <c r="N37" s="11"/>
      <c r="O37" s="11"/>
      <c r="P37" s="11"/>
      <c r="Q37" s="11"/>
      <c r="R37" s="204"/>
      <c r="T37" s="206"/>
      <c r="U37" s="13"/>
      <c r="V37" s="13"/>
      <c r="W37" s="13"/>
      <c r="X37" s="13"/>
      <c r="Y37" s="11"/>
      <c r="Z37" s="11"/>
      <c r="AA37" s="13"/>
      <c r="AB37" s="13"/>
      <c r="AC37" s="13"/>
      <c r="AD37" s="13"/>
      <c r="AE37" s="13"/>
      <c r="AF37" s="11"/>
      <c r="AG37" s="13"/>
      <c r="AH37" s="13"/>
      <c r="AI37" s="13"/>
      <c r="AJ37" s="203"/>
      <c r="AK37" s="203"/>
      <c r="AL37" s="203"/>
      <c r="AM37" s="203"/>
      <c r="AN37" s="203"/>
      <c r="AO37" s="203"/>
      <c r="AP37" s="203"/>
      <c r="AQ37" s="203"/>
      <c r="AR37" s="203"/>
      <c r="AS37" s="203"/>
      <c r="AT37" s="203"/>
      <c r="AU37" s="203"/>
      <c r="AV37" s="203"/>
      <c r="AW37" s="203"/>
      <c r="AX37" s="203"/>
      <c r="AY37" s="13"/>
      <c r="AZ37" s="13"/>
    </row>
    <row r="38" spans="2:52" s="10" customFormat="1" x14ac:dyDescent="0.2">
      <c r="B38" s="11"/>
      <c r="C38" s="11"/>
      <c r="D38" s="11"/>
      <c r="E38" s="11"/>
      <c r="F38" s="11"/>
      <c r="G38" s="11"/>
      <c r="H38" s="11"/>
      <c r="I38" s="11"/>
      <c r="J38" s="11"/>
      <c r="K38" s="11"/>
      <c r="L38" s="11"/>
      <c r="M38" s="11"/>
      <c r="N38" s="11"/>
      <c r="O38" s="11"/>
      <c r="P38" s="11"/>
      <c r="Q38" s="11"/>
      <c r="R38" s="204"/>
      <c r="T38" s="206"/>
      <c r="U38" s="13"/>
      <c r="V38" s="13"/>
      <c r="W38" s="13"/>
      <c r="X38" s="13"/>
      <c r="Y38" s="11"/>
      <c r="Z38" s="11"/>
      <c r="AA38" s="13"/>
      <c r="AB38" s="13"/>
      <c r="AC38" s="13"/>
      <c r="AD38" s="13"/>
      <c r="AE38" s="13"/>
      <c r="AF38" s="11"/>
      <c r="AG38" s="13"/>
      <c r="AH38" s="13"/>
      <c r="AI38" s="13"/>
      <c r="AJ38" s="203"/>
      <c r="AK38" s="203"/>
      <c r="AL38" s="203"/>
      <c r="AM38" s="203"/>
      <c r="AN38" s="203"/>
      <c r="AO38" s="203"/>
      <c r="AP38" s="203"/>
      <c r="AQ38" s="203"/>
      <c r="AR38" s="203"/>
      <c r="AS38" s="203"/>
      <c r="AT38" s="203"/>
      <c r="AU38" s="203"/>
      <c r="AV38" s="203"/>
      <c r="AW38" s="203"/>
      <c r="AX38" s="203"/>
      <c r="AY38" s="13"/>
      <c r="AZ38" s="13"/>
    </row>
    <row r="39" spans="2:52" s="10" customFormat="1" x14ac:dyDescent="0.2">
      <c r="B39" s="11"/>
      <c r="C39" s="11"/>
      <c r="D39" s="11"/>
      <c r="E39" s="11"/>
      <c r="F39" s="11"/>
      <c r="G39" s="11"/>
      <c r="H39" s="11"/>
      <c r="I39" s="11"/>
      <c r="J39" s="11"/>
      <c r="K39" s="11"/>
      <c r="L39" s="11"/>
      <c r="M39" s="11"/>
      <c r="N39" s="11"/>
      <c r="O39" s="11"/>
      <c r="P39" s="11"/>
      <c r="Q39" s="11"/>
      <c r="R39" s="204"/>
      <c r="T39" s="206"/>
      <c r="U39" s="13"/>
      <c r="V39" s="13"/>
      <c r="W39" s="13"/>
      <c r="X39" s="13"/>
      <c r="Y39" s="11"/>
      <c r="Z39" s="11"/>
      <c r="AA39" s="13"/>
      <c r="AB39" s="13"/>
      <c r="AC39" s="13"/>
      <c r="AD39" s="13"/>
      <c r="AE39" s="13"/>
      <c r="AF39" s="11"/>
      <c r="AG39" s="13"/>
      <c r="AH39" s="13"/>
      <c r="AI39" s="13"/>
      <c r="AJ39" s="203"/>
      <c r="AK39" s="203"/>
      <c r="AL39" s="203"/>
      <c r="AM39" s="203"/>
      <c r="AN39" s="203"/>
      <c r="AO39" s="203"/>
      <c r="AP39" s="203"/>
      <c r="AQ39" s="203"/>
      <c r="AR39" s="203"/>
      <c r="AS39" s="203"/>
      <c r="AT39" s="203"/>
      <c r="AU39" s="203"/>
      <c r="AV39" s="203"/>
      <c r="AW39" s="203"/>
      <c r="AX39" s="203"/>
      <c r="AY39" s="13"/>
      <c r="AZ39" s="13"/>
    </row>
    <row r="40" spans="2:52" s="10" customFormat="1" x14ac:dyDescent="0.2">
      <c r="B40" s="11"/>
      <c r="C40" s="11"/>
      <c r="D40" s="11"/>
      <c r="E40" s="11"/>
      <c r="F40" s="11"/>
      <c r="G40" s="11"/>
      <c r="H40" s="11"/>
      <c r="I40" s="11"/>
      <c r="J40" s="11"/>
      <c r="K40" s="11"/>
      <c r="L40" s="11"/>
      <c r="M40" s="11"/>
      <c r="N40" s="11"/>
      <c r="O40" s="11"/>
      <c r="P40" s="11"/>
      <c r="Q40" s="11"/>
      <c r="R40" s="204"/>
      <c r="T40" s="206"/>
      <c r="U40" s="13"/>
      <c r="V40" s="13"/>
      <c r="W40" s="13"/>
      <c r="X40" s="13"/>
      <c r="Y40" s="11"/>
      <c r="Z40" s="11"/>
      <c r="AA40" s="13"/>
      <c r="AB40" s="13"/>
      <c r="AC40" s="13"/>
      <c r="AD40" s="13"/>
      <c r="AE40" s="13"/>
      <c r="AF40" s="11"/>
      <c r="AG40" s="13"/>
      <c r="AH40" s="13"/>
      <c r="AI40" s="13"/>
      <c r="AJ40" s="203"/>
      <c r="AK40" s="203"/>
      <c r="AL40" s="203"/>
      <c r="AM40" s="203"/>
      <c r="AN40" s="203"/>
      <c r="AO40" s="203"/>
      <c r="AP40" s="203"/>
      <c r="AQ40" s="203"/>
      <c r="AR40" s="203"/>
      <c r="AS40" s="203"/>
      <c r="AT40" s="203"/>
      <c r="AU40" s="203"/>
      <c r="AV40" s="203"/>
      <c r="AW40" s="203"/>
      <c r="AX40" s="203"/>
      <c r="AY40" s="13"/>
      <c r="AZ40" s="13"/>
    </row>
    <row r="41" spans="2:52" s="10" customFormat="1" x14ac:dyDescent="0.2">
      <c r="B41" s="11"/>
      <c r="C41" s="11"/>
      <c r="D41" s="11"/>
      <c r="E41" s="11"/>
      <c r="F41" s="11"/>
      <c r="G41" s="11"/>
      <c r="H41" s="11"/>
      <c r="I41" s="11"/>
      <c r="J41" s="11"/>
      <c r="K41" s="11"/>
      <c r="L41" s="11"/>
      <c r="M41" s="11"/>
      <c r="N41" s="11"/>
      <c r="O41" s="11"/>
      <c r="P41" s="11"/>
      <c r="Q41" s="11"/>
      <c r="R41" s="204"/>
      <c r="T41" s="206"/>
      <c r="U41" s="13"/>
      <c r="V41" s="13"/>
      <c r="W41" s="13"/>
      <c r="X41" s="13"/>
      <c r="Y41" s="11"/>
      <c r="Z41" s="11"/>
      <c r="AA41" s="13"/>
      <c r="AB41" s="13"/>
      <c r="AC41" s="13"/>
      <c r="AD41" s="13"/>
      <c r="AE41" s="13"/>
      <c r="AF41" s="11"/>
      <c r="AG41" s="13"/>
      <c r="AH41" s="13"/>
      <c r="AI41" s="13"/>
      <c r="AJ41" s="203"/>
      <c r="AK41" s="203"/>
      <c r="AL41" s="203"/>
      <c r="AM41" s="203"/>
      <c r="AN41" s="203"/>
      <c r="AO41" s="203"/>
      <c r="AP41" s="203"/>
      <c r="AQ41" s="203"/>
      <c r="AR41" s="203"/>
      <c r="AS41" s="203"/>
      <c r="AT41" s="203"/>
      <c r="AU41" s="203"/>
      <c r="AV41" s="203"/>
      <c r="AW41" s="203"/>
      <c r="AX41" s="203"/>
      <c r="AY41" s="13"/>
      <c r="AZ41" s="13"/>
    </row>
    <row r="42" spans="2:52" s="10" customFormat="1" x14ac:dyDescent="0.2">
      <c r="B42" s="11"/>
      <c r="C42" s="11"/>
      <c r="D42" s="11"/>
      <c r="E42" s="11"/>
      <c r="F42" s="11"/>
      <c r="G42" s="11"/>
      <c r="H42" s="11"/>
      <c r="I42" s="11"/>
      <c r="J42" s="11"/>
      <c r="K42" s="11"/>
      <c r="L42" s="11"/>
      <c r="M42" s="11"/>
      <c r="N42" s="11"/>
      <c r="O42" s="11"/>
      <c r="P42" s="11"/>
      <c r="Q42" s="11"/>
      <c r="R42" s="204"/>
      <c r="T42" s="206"/>
      <c r="U42" s="13"/>
      <c r="V42" s="13"/>
      <c r="W42" s="13"/>
      <c r="X42" s="13"/>
      <c r="Y42" s="11"/>
      <c r="Z42" s="11"/>
      <c r="AA42" s="13"/>
      <c r="AB42" s="13"/>
      <c r="AC42" s="13"/>
      <c r="AD42" s="13"/>
      <c r="AE42" s="13"/>
      <c r="AF42" s="11"/>
      <c r="AG42" s="13"/>
      <c r="AH42" s="13"/>
      <c r="AI42" s="13"/>
      <c r="AJ42" s="203"/>
      <c r="AK42" s="203"/>
      <c r="AL42" s="203"/>
      <c r="AM42" s="203"/>
      <c r="AN42" s="203"/>
      <c r="AO42" s="203"/>
      <c r="AP42" s="203"/>
      <c r="AQ42" s="203"/>
      <c r="AR42" s="203"/>
      <c r="AS42" s="203"/>
      <c r="AT42" s="203"/>
      <c r="AU42" s="203"/>
      <c r="AV42" s="203"/>
      <c r="AW42" s="203"/>
      <c r="AX42" s="203"/>
      <c r="AY42" s="13"/>
      <c r="AZ42" s="13"/>
    </row>
    <row r="43" spans="2:52" s="10" customFormat="1" x14ac:dyDescent="0.2">
      <c r="B43" s="11"/>
      <c r="C43" s="11"/>
      <c r="D43" s="11"/>
      <c r="E43" s="11"/>
      <c r="F43" s="11"/>
      <c r="G43" s="11"/>
      <c r="H43" s="11"/>
      <c r="I43" s="11"/>
      <c r="J43" s="11"/>
      <c r="K43" s="11"/>
      <c r="L43" s="11"/>
      <c r="M43" s="11"/>
      <c r="N43" s="11"/>
      <c r="O43" s="11"/>
      <c r="P43" s="11"/>
      <c r="Q43" s="11"/>
      <c r="R43" s="204"/>
      <c r="T43" s="206"/>
      <c r="U43" s="13"/>
      <c r="V43" s="13"/>
      <c r="W43" s="13"/>
      <c r="X43" s="13"/>
      <c r="Y43" s="11"/>
      <c r="Z43" s="11"/>
      <c r="AA43" s="13"/>
      <c r="AB43" s="13"/>
      <c r="AC43" s="13"/>
      <c r="AD43" s="13"/>
      <c r="AE43" s="13"/>
      <c r="AF43" s="11"/>
      <c r="AG43" s="13"/>
      <c r="AH43" s="13"/>
      <c r="AI43" s="13"/>
      <c r="AJ43" s="203"/>
      <c r="AK43" s="203"/>
      <c r="AL43" s="203"/>
      <c r="AM43" s="203"/>
      <c r="AN43" s="203"/>
      <c r="AO43" s="203"/>
      <c r="AP43" s="203"/>
      <c r="AQ43" s="203"/>
      <c r="AR43" s="203"/>
      <c r="AS43" s="203"/>
      <c r="AT43" s="203"/>
      <c r="AU43" s="203"/>
      <c r="AV43" s="203"/>
      <c r="AW43" s="203"/>
      <c r="AX43" s="203"/>
      <c r="AY43" s="13"/>
      <c r="AZ43" s="13"/>
    </row>
    <row r="44" spans="2:52" s="10" customFormat="1" x14ac:dyDescent="0.2">
      <c r="B44" s="11"/>
      <c r="C44" s="11"/>
      <c r="D44" s="11"/>
      <c r="E44" s="11"/>
      <c r="F44" s="11"/>
      <c r="G44" s="11"/>
      <c r="H44" s="11"/>
      <c r="I44" s="11"/>
      <c r="J44" s="11"/>
      <c r="K44" s="11"/>
      <c r="L44" s="11"/>
      <c r="M44" s="11"/>
      <c r="N44" s="11"/>
      <c r="O44" s="11"/>
      <c r="P44" s="11"/>
      <c r="Q44" s="11"/>
      <c r="R44" s="204"/>
      <c r="T44" s="206"/>
      <c r="U44" s="13"/>
      <c r="V44" s="13"/>
      <c r="W44" s="13"/>
      <c r="X44" s="13"/>
      <c r="Y44" s="11"/>
      <c r="Z44" s="11"/>
      <c r="AA44" s="13"/>
      <c r="AB44" s="13"/>
      <c r="AC44" s="13"/>
      <c r="AD44" s="13"/>
      <c r="AE44" s="13"/>
      <c r="AF44" s="11"/>
      <c r="AG44" s="13"/>
      <c r="AH44" s="13"/>
      <c r="AI44" s="13"/>
      <c r="AJ44" s="203"/>
      <c r="AK44" s="203"/>
      <c r="AL44" s="203"/>
      <c r="AM44" s="203"/>
      <c r="AN44" s="203"/>
      <c r="AO44" s="203"/>
      <c r="AP44" s="203"/>
      <c r="AQ44" s="203"/>
      <c r="AR44" s="203"/>
      <c r="AS44" s="203"/>
      <c r="AT44" s="203"/>
      <c r="AU44" s="203"/>
      <c r="AV44" s="203"/>
      <c r="AW44" s="203"/>
      <c r="AX44" s="203"/>
      <c r="AY44" s="13"/>
      <c r="AZ44" s="13"/>
    </row>
    <row r="45" spans="2:52" s="10" customFormat="1" x14ac:dyDescent="0.2">
      <c r="B45" s="11"/>
      <c r="C45" s="11"/>
      <c r="D45" s="11"/>
      <c r="E45" s="11"/>
      <c r="F45" s="11"/>
      <c r="G45" s="11"/>
      <c r="H45" s="11"/>
      <c r="I45" s="11"/>
      <c r="J45" s="11"/>
      <c r="K45" s="11"/>
      <c r="L45" s="11"/>
      <c r="M45" s="11"/>
      <c r="N45" s="11"/>
      <c r="O45" s="11"/>
      <c r="P45" s="11"/>
      <c r="Q45" s="11"/>
      <c r="R45" s="204"/>
      <c r="T45" s="206"/>
      <c r="U45" s="13"/>
      <c r="V45" s="13"/>
      <c r="W45" s="13"/>
      <c r="X45" s="13"/>
      <c r="Y45" s="11"/>
      <c r="Z45" s="11"/>
      <c r="AA45" s="13"/>
      <c r="AB45" s="13"/>
      <c r="AC45" s="13"/>
      <c r="AD45" s="13"/>
      <c r="AE45" s="13"/>
      <c r="AF45" s="11"/>
      <c r="AG45" s="13"/>
      <c r="AH45" s="13"/>
      <c r="AI45" s="13"/>
      <c r="AJ45" s="203"/>
      <c r="AK45" s="203"/>
      <c r="AL45" s="203"/>
      <c r="AM45" s="203"/>
      <c r="AN45" s="203"/>
      <c r="AO45" s="203"/>
      <c r="AP45" s="203"/>
      <c r="AQ45" s="203"/>
      <c r="AR45" s="203"/>
      <c r="AS45" s="203"/>
      <c r="AT45" s="203"/>
      <c r="AU45" s="203"/>
      <c r="AV45" s="203"/>
      <c r="AW45" s="203"/>
      <c r="AX45" s="203"/>
      <c r="AY45" s="13"/>
      <c r="AZ45" s="13"/>
    </row>
    <row r="46" spans="2:52" s="10" customFormat="1" x14ac:dyDescent="0.2">
      <c r="B46" s="11"/>
      <c r="C46" s="11"/>
      <c r="D46" s="11"/>
      <c r="E46" s="11"/>
      <c r="F46" s="11"/>
      <c r="G46" s="11"/>
      <c r="H46" s="11"/>
      <c r="I46" s="11"/>
      <c r="J46" s="11"/>
      <c r="K46" s="11"/>
      <c r="L46" s="11"/>
      <c r="M46" s="11"/>
      <c r="N46" s="11"/>
      <c r="O46" s="11"/>
      <c r="P46" s="11"/>
      <c r="Q46" s="11"/>
      <c r="R46" s="204"/>
      <c r="T46" s="206"/>
      <c r="U46" s="13"/>
      <c r="V46" s="13"/>
      <c r="W46" s="13"/>
      <c r="X46" s="13"/>
      <c r="Y46" s="11"/>
      <c r="Z46" s="11"/>
      <c r="AA46" s="13"/>
      <c r="AB46" s="13"/>
      <c r="AC46" s="13"/>
      <c r="AD46" s="13"/>
      <c r="AE46" s="13"/>
      <c r="AF46" s="11"/>
      <c r="AG46" s="13"/>
      <c r="AH46" s="13"/>
      <c r="AI46" s="13"/>
      <c r="AJ46" s="203"/>
      <c r="AK46" s="203"/>
      <c r="AL46" s="203"/>
      <c r="AM46" s="203"/>
      <c r="AN46" s="203"/>
      <c r="AO46" s="203"/>
      <c r="AP46" s="203"/>
      <c r="AQ46" s="203"/>
      <c r="AR46" s="203"/>
      <c r="AS46" s="203"/>
      <c r="AT46" s="203"/>
      <c r="AU46" s="203"/>
      <c r="AV46" s="203"/>
      <c r="AW46" s="203"/>
      <c r="AX46" s="203"/>
      <c r="AY46" s="13"/>
      <c r="AZ46" s="13"/>
    </row>
    <row r="47" spans="2:52" s="10" customFormat="1" x14ac:dyDescent="0.2">
      <c r="B47" s="11"/>
      <c r="C47" s="11"/>
      <c r="D47" s="11"/>
      <c r="E47" s="11"/>
      <c r="F47" s="11"/>
      <c r="G47" s="11"/>
      <c r="H47" s="11"/>
      <c r="I47" s="11"/>
      <c r="J47" s="11"/>
      <c r="K47" s="11"/>
      <c r="L47" s="11"/>
      <c r="M47" s="11"/>
      <c r="N47" s="11"/>
      <c r="O47" s="11"/>
      <c r="P47" s="11"/>
      <c r="Q47" s="11"/>
      <c r="R47" s="204"/>
      <c r="T47" s="206"/>
      <c r="U47" s="13"/>
      <c r="V47" s="13"/>
      <c r="W47" s="13"/>
      <c r="X47" s="13"/>
      <c r="Y47" s="11"/>
      <c r="Z47" s="11"/>
      <c r="AA47" s="13"/>
      <c r="AB47" s="13"/>
      <c r="AC47" s="13"/>
      <c r="AD47" s="13"/>
      <c r="AE47" s="13"/>
      <c r="AF47" s="11"/>
      <c r="AG47" s="13"/>
      <c r="AH47" s="13"/>
      <c r="AI47" s="13"/>
      <c r="AJ47" s="203"/>
      <c r="AK47" s="203"/>
      <c r="AL47" s="203"/>
      <c r="AM47" s="203"/>
      <c r="AN47" s="203"/>
      <c r="AO47" s="203"/>
      <c r="AP47" s="203"/>
      <c r="AQ47" s="203"/>
      <c r="AR47" s="203"/>
      <c r="AS47" s="203"/>
      <c r="AT47" s="203"/>
      <c r="AU47" s="203"/>
      <c r="AV47" s="203"/>
      <c r="AW47" s="203"/>
      <c r="AX47" s="203"/>
      <c r="AY47" s="13"/>
      <c r="AZ47" s="13"/>
    </row>
    <row r="48" spans="2:52" s="10" customFormat="1" x14ac:dyDescent="0.2">
      <c r="B48" s="11"/>
      <c r="C48" s="11"/>
      <c r="D48" s="11"/>
      <c r="E48" s="11"/>
      <c r="F48" s="11"/>
      <c r="G48" s="11"/>
      <c r="H48" s="11"/>
      <c r="I48" s="11"/>
      <c r="J48" s="11"/>
      <c r="K48" s="11"/>
      <c r="L48" s="11"/>
      <c r="M48" s="11"/>
      <c r="N48" s="11"/>
      <c r="O48" s="11"/>
      <c r="P48" s="11"/>
      <c r="Q48" s="11"/>
      <c r="R48" s="204"/>
      <c r="T48" s="206"/>
      <c r="V48" s="13"/>
      <c r="W48" s="13"/>
      <c r="X48" s="13"/>
      <c r="Y48" s="11"/>
      <c r="Z48" s="11"/>
      <c r="AA48" s="13"/>
      <c r="AB48" s="13"/>
      <c r="AC48" s="13"/>
      <c r="AD48" s="13"/>
      <c r="AE48" s="13"/>
      <c r="AF48" s="11"/>
      <c r="AI48" s="13"/>
      <c r="AJ48" s="203"/>
      <c r="AK48" s="203"/>
      <c r="AL48" s="203"/>
      <c r="AM48" s="203"/>
      <c r="AN48" s="203"/>
      <c r="AO48" s="203"/>
      <c r="AP48" s="203"/>
      <c r="AQ48" s="203"/>
      <c r="AR48" s="203"/>
      <c r="AS48" s="203"/>
      <c r="AT48" s="203"/>
      <c r="AU48" s="203"/>
      <c r="AV48" s="203"/>
      <c r="AW48" s="203"/>
      <c r="AX48" s="203"/>
    </row>
    <row r="49" spans="2:50" s="10" customFormat="1" x14ac:dyDescent="0.2">
      <c r="B49" s="11"/>
      <c r="C49" s="11"/>
      <c r="D49" s="11"/>
      <c r="E49" s="11"/>
      <c r="F49" s="11"/>
      <c r="G49" s="11"/>
      <c r="H49" s="11"/>
      <c r="I49" s="11"/>
      <c r="J49" s="11"/>
      <c r="K49" s="11"/>
      <c r="L49" s="11"/>
      <c r="M49" s="11"/>
      <c r="N49" s="11"/>
      <c r="O49" s="11"/>
      <c r="P49" s="11"/>
      <c r="Q49" s="11"/>
      <c r="R49" s="204"/>
      <c r="T49" s="206"/>
      <c r="U49" s="13"/>
      <c r="V49" s="13"/>
      <c r="W49" s="13"/>
      <c r="X49" s="13"/>
      <c r="Y49" s="11"/>
      <c r="Z49" s="11"/>
      <c r="AA49" s="13"/>
      <c r="AB49" s="13"/>
      <c r="AC49" s="13"/>
      <c r="AD49" s="13"/>
      <c r="AE49" s="13"/>
      <c r="AF49" s="11"/>
      <c r="AG49" s="13"/>
      <c r="AH49" s="13"/>
      <c r="AI49" s="13"/>
      <c r="AJ49" s="203"/>
      <c r="AK49" s="203"/>
      <c r="AL49" s="203"/>
      <c r="AM49" s="203"/>
      <c r="AN49" s="203"/>
      <c r="AO49" s="203"/>
      <c r="AP49" s="203"/>
      <c r="AQ49" s="203"/>
      <c r="AR49" s="203"/>
      <c r="AS49" s="203"/>
      <c r="AT49" s="203"/>
      <c r="AU49" s="203"/>
      <c r="AV49" s="203"/>
      <c r="AW49" s="203"/>
      <c r="AX49" s="203"/>
    </row>
    <row r="50" spans="2:50" s="10" customFormat="1" x14ac:dyDescent="0.2">
      <c r="B50" s="11"/>
      <c r="C50" s="11"/>
      <c r="D50" s="11"/>
      <c r="E50" s="11"/>
      <c r="F50" s="11"/>
      <c r="G50" s="11"/>
      <c r="H50" s="11"/>
      <c r="I50" s="11"/>
      <c r="J50" s="11"/>
      <c r="K50" s="11"/>
      <c r="L50" s="11"/>
      <c r="M50" s="11"/>
      <c r="N50" s="11"/>
      <c r="O50" s="11"/>
      <c r="P50" s="11"/>
      <c r="Q50" s="11"/>
      <c r="R50" s="204"/>
      <c r="T50" s="206"/>
      <c r="V50" s="13"/>
      <c r="W50" s="13"/>
      <c r="X50" s="13"/>
      <c r="Y50" s="11"/>
      <c r="Z50" s="11"/>
      <c r="AA50" s="13"/>
      <c r="AB50" s="13"/>
      <c r="AC50" s="13"/>
      <c r="AD50" s="13"/>
      <c r="AE50" s="13"/>
      <c r="AF50" s="11"/>
      <c r="AI50" s="13"/>
      <c r="AJ50" s="203"/>
      <c r="AK50" s="203"/>
      <c r="AL50" s="203"/>
      <c r="AM50" s="203"/>
      <c r="AN50" s="203"/>
      <c r="AO50" s="203"/>
      <c r="AP50" s="203"/>
      <c r="AQ50" s="203"/>
      <c r="AR50" s="203"/>
      <c r="AS50" s="203"/>
      <c r="AT50" s="203"/>
      <c r="AU50" s="203"/>
      <c r="AV50" s="203"/>
      <c r="AW50" s="203"/>
      <c r="AX50" s="203"/>
    </row>
    <row r="51" spans="2:50" s="10" customFormat="1" x14ac:dyDescent="0.2">
      <c r="B51" s="11"/>
      <c r="C51" s="11"/>
      <c r="D51" s="11"/>
      <c r="E51" s="11"/>
      <c r="F51" s="11"/>
      <c r="G51" s="11"/>
      <c r="H51" s="11"/>
      <c r="I51" s="11"/>
      <c r="J51" s="11"/>
      <c r="K51" s="11"/>
      <c r="L51" s="11"/>
      <c r="M51" s="11"/>
      <c r="N51" s="11"/>
      <c r="O51" s="11"/>
      <c r="P51" s="11"/>
      <c r="Q51" s="11"/>
      <c r="R51" s="204"/>
      <c r="T51" s="206"/>
      <c r="V51" s="13"/>
      <c r="W51" s="13"/>
      <c r="X51" s="13"/>
      <c r="Y51" s="11"/>
      <c r="Z51" s="11"/>
      <c r="AA51" s="13"/>
      <c r="AB51" s="13"/>
      <c r="AC51" s="13"/>
      <c r="AD51" s="13"/>
      <c r="AE51" s="13"/>
      <c r="AF51" s="11"/>
      <c r="AI51" s="13"/>
      <c r="AJ51" s="203"/>
      <c r="AK51" s="203"/>
      <c r="AL51" s="203"/>
      <c r="AM51" s="203"/>
      <c r="AN51" s="203"/>
      <c r="AO51" s="203"/>
      <c r="AP51" s="203"/>
      <c r="AQ51" s="203"/>
      <c r="AR51" s="203"/>
      <c r="AS51" s="203"/>
      <c r="AT51" s="203"/>
      <c r="AU51" s="203"/>
      <c r="AV51" s="203"/>
      <c r="AW51" s="203"/>
      <c r="AX51" s="203"/>
    </row>
    <row r="52" spans="2:50" s="10" customFormat="1" x14ac:dyDescent="0.2">
      <c r="B52" s="11"/>
      <c r="C52" s="11"/>
      <c r="D52" s="11"/>
      <c r="E52" s="11"/>
      <c r="F52" s="11"/>
      <c r="G52" s="11"/>
      <c r="H52" s="11"/>
      <c r="I52" s="11"/>
      <c r="J52" s="11"/>
      <c r="K52" s="11"/>
      <c r="L52" s="11"/>
      <c r="M52" s="11"/>
      <c r="N52" s="11"/>
      <c r="O52" s="11"/>
      <c r="P52" s="11"/>
      <c r="Q52" s="11"/>
      <c r="R52" s="204"/>
      <c r="T52" s="206"/>
      <c r="V52" s="13"/>
      <c r="W52" s="13"/>
      <c r="X52" s="13"/>
      <c r="Y52" s="11"/>
      <c r="Z52" s="11"/>
      <c r="AA52" s="13"/>
      <c r="AB52" s="13"/>
      <c r="AC52" s="13"/>
      <c r="AD52" s="13"/>
      <c r="AE52" s="13"/>
      <c r="AF52" s="11"/>
      <c r="AI52" s="13"/>
      <c r="AJ52" s="203"/>
      <c r="AK52" s="203"/>
      <c r="AL52" s="203"/>
      <c r="AM52" s="203"/>
      <c r="AN52" s="203"/>
      <c r="AO52" s="203"/>
      <c r="AP52" s="203"/>
      <c r="AQ52" s="203"/>
      <c r="AR52" s="203"/>
      <c r="AS52" s="203"/>
      <c r="AT52" s="203"/>
      <c r="AU52" s="203"/>
      <c r="AV52" s="203"/>
      <c r="AW52" s="203"/>
      <c r="AX52" s="203"/>
    </row>
    <row r="53" spans="2:50" s="10" customFormat="1" x14ac:dyDescent="0.2">
      <c r="B53" s="11"/>
      <c r="C53" s="11"/>
      <c r="D53" s="11"/>
      <c r="E53" s="11"/>
      <c r="F53" s="11"/>
      <c r="G53" s="11"/>
      <c r="H53" s="11"/>
      <c r="I53" s="11"/>
      <c r="J53" s="11"/>
      <c r="K53" s="11"/>
      <c r="L53" s="11"/>
      <c r="M53" s="11"/>
      <c r="N53" s="11"/>
      <c r="O53" s="11"/>
      <c r="P53" s="11"/>
      <c r="Q53" s="11"/>
      <c r="R53" s="204"/>
      <c r="T53" s="206"/>
      <c r="V53" s="13"/>
      <c r="W53" s="13"/>
      <c r="X53" s="13"/>
      <c r="Y53" s="11"/>
      <c r="Z53" s="11"/>
      <c r="AA53" s="13"/>
      <c r="AB53" s="13"/>
      <c r="AC53" s="13"/>
      <c r="AD53" s="13"/>
      <c r="AE53" s="13"/>
      <c r="AF53" s="11"/>
      <c r="AI53" s="13"/>
      <c r="AJ53" s="203"/>
      <c r="AK53" s="203"/>
      <c r="AL53" s="203"/>
      <c r="AM53" s="203"/>
      <c r="AN53" s="203"/>
      <c r="AO53" s="203"/>
      <c r="AP53" s="203"/>
      <c r="AQ53" s="203"/>
      <c r="AR53" s="203"/>
      <c r="AS53" s="203"/>
      <c r="AT53" s="203"/>
      <c r="AU53" s="203"/>
      <c r="AV53" s="203"/>
      <c r="AW53" s="203"/>
      <c r="AX53" s="203"/>
    </row>
    <row r="54" spans="2:50" s="10" customFormat="1" x14ac:dyDescent="0.2">
      <c r="B54" s="11"/>
      <c r="C54" s="11"/>
      <c r="D54" s="11"/>
      <c r="E54" s="11"/>
      <c r="F54" s="11"/>
      <c r="G54" s="11"/>
      <c r="H54" s="11"/>
      <c r="I54" s="11"/>
      <c r="J54" s="11"/>
      <c r="K54" s="11"/>
      <c r="L54" s="11"/>
      <c r="M54" s="11"/>
      <c r="N54" s="11"/>
      <c r="O54" s="11"/>
      <c r="P54" s="11"/>
      <c r="Q54" s="11"/>
      <c r="R54" s="204"/>
      <c r="T54" s="206"/>
      <c r="V54" s="13"/>
      <c r="W54" s="13"/>
      <c r="X54" s="13"/>
      <c r="Y54" s="11"/>
      <c r="Z54" s="11"/>
      <c r="AA54" s="13"/>
      <c r="AB54" s="13"/>
      <c r="AC54" s="13"/>
      <c r="AD54" s="13"/>
      <c r="AE54" s="13"/>
      <c r="AF54" s="11"/>
      <c r="AI54" s="13"/>
      <c r="AJ54" s="203"/>
      <c r="AK54" s="203"/>
      <c r="AL54" s="203"/>
      <c r="AM54" s="203"/>
      <c r="AN54" s="203"/>
      <c r="AO54" s="203"/>
      <c r="AP54" s="203"/>
      <c r="AQ54" s="203"/>
      <c r="AR54" s="203"/>
      <c r="AS54" s="203"/>
      <c r="AT54" s="203"/>
      <c r="AU54" s="203"/>
      <c r="AV54" s="203"/>
      <c r="AW54" s="203"/>
      <c r="AX54" s="203"/>
    </row>
    <row r="55" spans="2:50" s="10" customFormat="1" x14ac:dyDescent="0.2">
      <c r="B55" s="11"/>
      <c r="C55" s="11"/>
      <c r="D55" s="11"/>
      <c r="E55" s="11"/>
      <c r="F55" s="11"/>
      <c r="G55" s="11"/>
      <c r="H55" s="11"/>
      <c r="I55" s="11"/>
      <c r="J55" s="11"/>
      <c r="K55" s="11"/>
      <c r="L55" s="11"/>
      <c r="M55" s="11"/>
      <c r="N55" s="11"/>
      <c r="O55" s="11"/>
      <c r="P55" s="11"/>
      <c r="Q55" s="11"/>
      <c r="R55" s="204"/>
      <c r="T55" s="206"/>
      <c r="V55" s="13"/>
      <c r="W55" s="13"/>
      <c r="X55" s="13"/>
      <c r="Y55" s="11"/>
      <c r="Z55" s="11"/>
      <c r="AA55" s="13"/>
      <c r="AB55" s="13"/>
      <c r="AC55" s="13"/>
      <c r="AD55" s="13"/>
      <c r="AE55" s="13"/>
      <c r="AF55" s="11"/>
      <c r="AI55" s="13"/>
      <c r="AJ55" s="203"/>
      <c r="AK55" s="203"/>
      <c r="AL55" s="203"/>
      <c r="AM55" s="203"/>
      <c r="AN55" s="203"/>
      <c r="AO55" s="203"/>
      <c r="AP55" s="203"/>
      <c r="AQ55" s="203"/>
      <c r="AR55" s="203"/>
      <c r="AS55" s="203"/>
      <c r="AT55" s="203"/>
      <c r="AU55" s="203"/>
      <c r="AV55" s="203"/>
      <c r="AW55" s="203"/>
      <c r="AX55" s="203"/>
    </row>
    <row r="56" spans="2:50" s="10" customFormat="1" x14ac:dyDescent="0.2">
      <c r="B56" s="11"/>
      <c r="C56" s="11"/>
      <c r="D56" s="11"/>
      <c r="E56" s="11"/>
      <c r="F56" s="11"/>
      <c r="G56" s="11"/>
      <c r="H56" s="11"/>
      <c r="I56" s="11"/>
      <c r="J56" s="11"/>
      <c r="K56" s="11"/>
      <c r="L56" s="11"/>
      <c r="M56" s="11"/>
      <c r="N56" s="11"/>
      <c r="O56" s="11"/>
      <c r="P56" s="11"/>
      <c r="Q56" s="11"/>
      <c r="R56" s="204"/>
      <c r="T56" s="206"/>
      <c r="V56" s="13"/>
      <c r="W56" s="13"/>
      <c r="X56" s="13"/>
      <c r="Y56" s="11"/>
      <c r="Z56" s="11"/>
      <c r="AA56" s="13"/>
      <c r="AB56" s="13"/>
      <c r="AC56" s="13"/>
      <c r="AD56" s="13"/>
      <c r="AE56" s="13"/>
      <c r="AF56" s="11"/>
      <c r="AI56" s="13"/>
      <c r="AJ56" s="203"/>
      <c r="AK56" s="203"/>
      <c r="AL56" s="203"/>
      <c r="AM56" s="203"/>
      <c r="AN56" s="203"/>
      <c r="AO56" s="203"/>
      <c r="AP56" s="203"/>
      <c r="AQ56" s="203"/>
      <c r="AR56" s="203"/>
      <c r="AS56" s="203"/>
      <c r="AT56" s="203"/>
      <c r="AU56" s="203"/>
      <c r="AV56" s="203"/>
      <c r="AW56" s="203"/>
      <c r="AX56" s="203"/>
    </row>
    <row r="57" spans="2:50" s="10" customFormat="1" x14ac:dyDescent="0.2">
      <c r="B57" s="11"/>
      <c r="C57" s="11"/>
      <c r="D57" s="11"/>
      <c r="E57" s="11"/>
      <c r="F57" s="11"/>
      <c r="G57" s="11"/>
      <c r="H57" s="11"/>
      <c r="I57" s="11"/>
      <c r="J57" s="11"/>
      <c r="K57" s="11"/>
      <c r="L57" s="11"/>
      <c r="M57" s="11"/>
      <c r="N57" s="11"/>
      <c r="O57" s="11"/>
      <c r="P57" s="11"/>
      <c r="Q57" s="11"/>
      <c r="R57" s="204"/>
      <c r="T57" s="12"/>
      <c r="V57" s="13"/>
      <c r="W57" s="13"/>
      <c r="X57" s="13"/>
      <c r="Y57" s="11"/>
      <c r="Z57" s="11"/>
      <c r="AA57" s="13"/>
      <c r="AB57" s="13"/>
      <c r="AC57" s="13"/>
      <c r="AD57" s="13"/>
      <c r="AE57" s="13"/>
      <c r="AF57" s="11"/>
      <c r="AI57" s="13"/>
      <c r="AJ57" s="203"/>
      <c r="AK57" s="203"/>
      <c r="AL57" s="203"/>
      <c r="AM57" s="203"/>
      <c r="AN57" s="203"/>
      <c r="AO57" s="203"/>
      <c r="AP57" s="203"/>
      <c r="AQ57" s="203"/>
      <c r="AR57" s="203"/>
      <c r="AS57" s="203"/>
      <c r="AT57" s="203"/>
      <c r="AU57" s="203"/>
      <c r="AV57" s="203"/>
      <c r="AW57" s="203"/>
      <c r="AX57" s="203"/>
    </row>
    <row r="58" spans="2:50" s="10" customFormat="1" x14ac:dyDescent="0.2">
      <c r="B58" s="11"/>
      <c r="C58" s="11"/>
      <c r="D58" s="11"/>
      <c r="E58" s="11"/>
      <c r="F58" s="11"/>
      <c r="G58" s="11"/>
      <c r="H58" s="11"/>
      <c r="I58" s="11"/>
      <c r="J58" s="11"/>
      <c r="K58" s="11"/>
      <c r="L58" s="11"/>
      <c r="M58" s="11"/>
      <c r="N58" s="11"/>
      <c r="O58" s="11"/>
      <c r="P58" s="11"/>
      <c r="Q58" s="11"/>
      <c r="R58" s="204"/>
      <c r="T58" s="12"/>
      <c r="V58" s="13"/>
      <c r="W58" s="13"/>
      <c r="X58" s="13"/>
      <c r="Y58" s="11"/>
      <c r="Z58" s="11"/>
      <c r="AA58" s="13"/>
      <c r="AB58" s="13"/>
      <c r="AC58" s="13"/>
      <c r="AD58" s="13"/>
      <c r="AE58" s="13"/>
      <c r="AF58" s="11"/>
      <c r="AI58" s="13"/>
      <c r="AJ58" s="203"/>
      <c r="AK58" s="203"/>
      <c r="AL58" s="203"/>
      <c r="AM58" s="203"/>
      <c r="AN58" s="203"/>
      <c r="AO58" s="203"/>
      <c r="AP58" s="203"/>
      <c r="AQ58" s="203"/>
      <c r="AR58" s="203"/>
      <c r="AS58" s="203"/>
      <c r="AT58" s="203"/>
      <c r="AU58" s="203"/>
      <c r="AV58" s="203"/>
      <c r="AW58" s="203"/>
      <c r="AX58" s="203"/>
    </row>
    <row r="59" spans="2:50" s="10" customFormat="1" x14ac:dyDescent="0.2">
      <c r="B59" s="11"/>
      <c r="C59" s="11"/>
      <c r="D59" s="11"/>
      <c r="E59" s="11"/>
      <c r="F59" s="11"/>
      <c r="G59" s="11"/>
      <c r="H59" s="11"/>
      <c r="I59" s="11"/>
      <c r="J59" s="11"/>
      <c r="K59" s="11"/>
      <c r="L59" s="11"/>
      <c r="M59" s="11"/>
      <c r="N59" s="11"/>
      <c r="O59" s="11"/>
      <c r="P59" s="11"/>
      <c r="Q59" s="11"/>
      <c r="R59" s="204"/>
      <c r="T59" s="12"/>
      <c r="V59" s="13"/>
      <c r="W59" s="13"/>
      <c r="X59" s="13"/>
      <c r="Y59" s="11"/>
      <c r="Z59" s="11"/>
      <c r="AA59" s="13"/>
      <c r="AB59" s="13"/>
      <c r="AC59" s="13"/>
      <c r="AD59" s="13"/>
      <c r="AE59" s="13"/>
      <c r="AF59" s="11"/>
      <c r="AI59" s="13"/>
      <c r="AJ59" s="203"/>
      <c r="AK59" s="203"/>
      <c r="AL59" s="203"/>
      <c r="AM59" s="203"/>
      <c r="AN59" s="203"/>
      <c r="AO59" s="203"/>
      <c r="AP59" s="203"/>
      <c r="AQ59" s="203"/>
      <c r="AR59" s="203"/>
      <c r="AS59" s="203"/>
      <c r="AT59" s="203"/>
      <c r="AU59" s="203"/>
      <c r="AV59" s="203"/>
      <c r="AW59" s="203"/>
      <c r="AX59" s="203"/>
    </row>
    <row r="60" spans="2:50" s="10" customFormat="1" x14ac:dyDescent="0.2">
      <c r="B60" s="11"/>
      <c r="C60" s="11"/>
      <c r="D60" s="11"/>
      <c r="E60" s="11"/>
      <c r="F60" s="11"/>
      <c r="G60" s="11"/>
      <c r="H60" s="11"/>
      <c r="I60" s="11"/>
      <c r="J60" s="11"/>
      <c r="K60" s="11"/>
      <c r="L60" s="11"/>
      <c r="M60" s="11"/>
      <c r="N60" s="11"/>
      <c r="O60" s="11"/>
      <c r="P60" s="11"/>
      <c r="Q60" s="11"/>
      <c r="R60" s="204"/>
      <c r="T60" s="12"/>
      <c r="V60" s="13"/>
      <c r="W60" s="13"/>
      <c r="X60" s="13"/>
      <c r="Y60" s="11"/>
      <c r="Z60" s="11"/>
      <c r="AA60" s="13"/>
      <c r="AB60" s="13"/>
      <c r="AC60" s="13"/>
      <c r="AD60" s="13"/>
      <c r="AE60" s="13"/>
      <c r="AF60" s="11"/>
      <c r="AI60" s="13"/>
      <c r="AJ60" s="203"/>
      <c r="AK60" s="203"/>
      <c r="AL60" s="203"/>
      <c r="AM60" s="203"/>
      <c r="AN60" s="203"/>
      <c r="AO60" s="203"/>
      <c r="AP60" s="203"/>
      <c r="AQ60" s="203"/>
      <c r="AR60" s="203"/>
      <c r="AS60" s="203"/>
      <c r="AT60" s="203"/>
      <c r="AU60" s="203"/>
      <c r="AV60" s="203"/>
      <c r="AW60" s="203"/>
      <c r="AX60" s="203"/>
    </row>
    <row r="61" spans="2:50" s="10" customFormat="1" x14ac:dyDescent="0.2">
      <c r="B61" s="11"/>
      <c r="C61" s="11"/>
      <c r="D61" s="11"/>
      <c r="E61" s="11"/>
      <c r="F61" s="11"/>
      <c r="G61" s="11"/>
      <c r="H61" s="11"/>
      <c r="I61" s="11"/>
      <c r="J61" s="11"/>
      <c r="K61" s="11"/>
      <c r="L61" s="11"/>
      <c r="M61" s="11"/>
      <c r="N61" s="11"/>
      <c r="O61" s="11"/>
      <c r="P61" s="11"/>
      <c r="Q61" s="11"/>
      <c r="R61" s="204"/>
      <c r="T61" s="12"/>
      <c r="V61" s="13"/>
      <c r="W61" s="13"/>
      <c r="X61" s="13"/>
      <c r="Y61" s="11"/>
      <c r="Z61" s="11"/>
      <c r="AA61" s="13"/>
      <c r="AB61" s="13"/>
      <c r="AC61" s="13"/>
      <c r="AD61" s="13"/>
      <c r="AE61" s="13"/>
      <c r="AF61" s="11"/>
      <c r="AI61" s="13"/>
      <c r="AJ61" s="203"/>
      <c r="AK61" s="203"/>
      <c r="AL61" s="203"/>
      <c r="AM61" s="203"/>
      <c r="AN61" s="203"/>
      <c r="AO61" s="203"/>
      <c r="AP61" s="203"/>
      <c r="AQ61" s="203"/>
      <c r="AR61" s="203"/>
      <c r="AS61" s="203"/>
      <c r="AT61" s="203"/>
      <c r="AU61" s="203"/>
      <c r="AV61" s="203"/>
      <c r="AW61" s="203"/>
      <c r="AX61" s="203"/>
    </row>
    <row r="62" spans="2:50" s="10" customFormat="1" x14ac:dyDescent="0.2">
      <c r="B62" s="11"/>
      <c r="C62" s="11"/>
      <c r="D62" s="11"/>
      <c r="E62" s="11"/>
      <c r="F62" s="11"/>
      <c r="G62" s="11"/>
      <c r="H62" s="11"/>
      <c r="I62" s="11"/>
      <c r="J62" s="11"/>
      <c r="K62" s="11"/>
      <c r="L62" s="11"/>
      <c r="M62" s="11"/>
      <c r="N62" s="11"/>
      <c r="O62" s="11"/>
      <c r="P62" s="11"/>
      <c r="Q62" s="11"/>
      <c r="R62" s="204"/>
      <c r="T62" s="12"/>
      <c r="V62" s="13"/>
      <c r="W62" s="13"/>
      <c r="X62" s="13"/>
      <c r="Y62" s="11"/>
      <c r="Z62" s="11"/>
      <c r="AA62" s="13"/>
      <c r="AB62" s="13"/>
      <c r="AC62" s="13"/>
      <c r="AD62" s="13"/>
      <c r="AE62" s="13"/>
      <c r="AF62" s="11"/>
      <c r="AI62" s="13"/>
      <c r="AJ62" s="203"/>
      <c r="AK62" s="203"/>
      <c r="AL62" s="203"/>
      <c r="AM62" s="203"/>
      <c r="AN62" s="203"/>
      <c r="AO62" s="203"/>
      <c r="AP62" s="203"/>
      <c r="AQ62" s="203"/>
      <c r="AR62" s="203"/>
      <c r="AS62" s="203"/>
      <c r="AT62" s="203"/>
      <c r="AU62" s="203"/>
      <c r="AV62" s="203"/>
      <c r="AW62" s="203"/>
      <c r="AX62" s="203"/>
    </row>
    <row r="63" spans="2:50" s="10" customFormat="1" x14ac:dyDescent="0.2">
      <c r="B63" s="11"/>
      <c r="C63" s="11"/>
      <c r="D63" s="11"/>
      <c r="E63" s="11"/>
      <c r="F63" s="11"/>
      <c r="G63" s="11"/>
      <c r="H63" s="11"/>
      <c r="I63" s="11"/>
      <c r="J63" s="11"/>
      <c r="K63" s="11"/>
      <c r="L63" s="11"/>
      <c r="M63" s="11"/>
      <c r="N63" s="11"/>
      <c r="O63" s="11"/>
      <c r="P63" s="11"/>
      <c r="Q63" s="11"/>
      <c r="R63" s="204"/>
      <c r="T63" s="12"/>
      <c r="V63" s="13"/>
      <c r="W63" s="13"/>
      <c r="X63" s="13"/>
      <c r="Y63" s="11"/>
      <c r="Z63" s="11"/>
      <c r="AA63" s="13"/>
      <c r="AB63" s="13"/>
      <c r="AC63" s="13"/>
      <c r="AD63" s="13"/>
      <c r="AE63" s="13"/>
      <c r="AF63" s="11"/>
      <c r="AI63" s="13"/>
      <c r="AJ63" s="203"/>
      <c r="AK63" s="203"/>
      <c r="AL63" s="203"/>
      <c r="AM63" s="203"/>
      <c r="AN63" s="203"/>
      <c r="AO63" s="203"/>
      <c r="AP63" s="203"/>
      <c r="AQ63" s="203"/>
      <c r="AR63" s="203"/>
      <c r="AS63" s="203"/>
      <c r="AT63" s="203"/>
      <c r="AU63" s="203"/>
      <c r="AV63" s="203"/>
      <c r="AW63" s="203"/>
      <c r="AX63" s="203"/>
    </row>
    <row r="64" spans="2:50" s="10" customFormat="1" x14ac:dyDescent="0.2">
      <c r="B64" s="11"/>
      <c r="C64" s="11"/>
      <c r="D64" s="11"/>
      <c r="E64" s="11"/>
      <c r="F64" s="11"/>
      <c r="G64" s="11"/>
      <c r="H64" s="11"/>
      <c r="I64" s="11"/>
      <c r="J64" s="11"/>
      <c r="K64" s="11"/>
      <c r="L64" s="11"/>
      <c r="M64" s="11"/>
      <c r="N64" s="11"/>
      <c r="O64" s="11"/>
      <c r="P64" s="11"/>
      <c r="Q64" s="11"/>
      <c r="R64" s="204"/>
      <c r="T64" s="12"/>
      <c r="V64" s="13"/>
      <c r="W64" s="13"/>
      <c r="X64" s="13"/>
      <c r="Y64" s="11"/>
      <c r="Z64" s="11"/>
      <c r="AA64" s="13"/>
      <c r="AB64" s="13"/>
      <c r="AC64" s="13"/>
      <c r="AD64" s="13"/>
      <c r="AE64" s="13"/>
      <c r="AF64" s="11"/>
      <c r="AI64" s="13"/>
      <c r="AJ64" s="203"/>
      <c r="AK64" s="203"/>
      <c r="AL64" s="203"/>
      <c r="AM64" s="203"/>
      <c r="AN64" s="203"/>
      <c r="AO64" s="203"/>
      <c r="AP64" s="203"/>
      <c r="AQ64" s="203"/>
      <c r="AR64" s="203"/>
      <c r="AS64" s="203"/>
      <c r="AT64" s="203"/>
      <c r="AU64" s="203"/>
      <c r="AV64" s="203"/>
      <c r="AW64" s="203"/>
      <c r="AX64" s="203"/>
    </row>
    <row r="65" spans="2:50" s="10" customFormat="1" x14ac:dyDescent="0.2">
      <c r="B65" s="11"/>
      <c r="C65" s="11"/>
      <c r="D65" s="11"/>
      <c r="E65" s="11"/>
      <c r="F65" s="11"/>
      <c r="G65" s="11"/>
      <c r="H65" s="11"/>
      <c r="I65" s="11"/>
      <c r="J65" s="11"/>
      <c r="K65" s="11"/>
      <c r="L65" s="11"/>
      <c r="M65" s="11"/>
      <c r="N65" s="11"/>
      <c r="O65" s="11"/>
      <c r="P65" s="11"/>
      <c r="Q65" s="11"/>
      <c r="R65" s="204"/>
      <c r="T65" s="12"/>
      <c r="V65" s="13"/>
      <c r="W65" s="13"/>
      <c r="X65" s="13"/>
      <c r="Y65" s="11"/>
      <c r="Z65" s="11"/>
      <c r="AA65" s="13"/>
      <c r="AB65" s="13"/>
      <c r="AC65" s="13"/>
      <c r="AD65" s="13"/>
      <c r="AE65" s="13"/>
      <c r="AF65" s="11"/>
      <c r="AI65" s="13"/>
      <c r="AJ65" s="203"/>
      <c r="AK65" s="203"/>
      <c r="AL65" s="203"/>
      <c r="AM65" s="203"/>
      <c r="AN65" s="203"/>
      <c r="AO65" s="203"/>
      <c r="AP65" s="203"/>
      <c r="AQ65" s="203"/>
      <c r="AR65" s="203"/>
      <c r="AS65" s="203"/>
      <c r="AT65" s="203"/>
      <c r="AU65" s="203"/>
      <c r="AV65" s="203"/>
      <c r="AW65" s="203"/>
      <c r="AX65" s="203"/>
    </row>
    <row r="66" spans="2:50" s="10" customFormat="1" x14ac:dyDescent="0.2">
      <c r="B66" s="11"/>
      <c r="C66" s="11"/>
      <c r="D66" s="11"/>
      <c r="E66" s="11"/>
      <c r="F66" s="11"/>
      <c r="G66" s="11"/>
      <c r="H66" s="11"/>
      <c r="I66" s="11"/>
      <c r="J66" s="11"/>
      <c r="K66" s="11"/>
      <c r="L66" s="11"/>
      <c r="M66" s="11"/>
      <c r="N66" s="11"/>
      <c r="O66" s="11"/>
      <c r="P66" s="11"/>
      <c r="Q66" s="11"/>
      <c r="R66" s="204"/>
      <c r="T66" s="12"/>
      <c r="V66" s="13"/>
      <c r="W66" s="13"/>
      <c r="X66" s="13"/>
      <c r="Y66" s="11"/>
      <c r="Z66" s="11"/>
      <c r="AA66" s="13"/>
      <c r="AB66" s="13"/>
      <c r="AC66" s="13"/>
      <c r="AD66" s="13"/>
      <c r="AE66" s="13"/>
      <c r="AF66" s="11"/>
      <c r="AI66" s="13"/>
      <c r="AJ66" s="203"/>
      <c r="AK66" s="203"/>
      <c r="AL66" s="203"/>
      <c r="AM66" s="203"/>
      <c r="AN66" s="203"/>
      <c r="AO66" s="203"/>
      <c r="AP66" s="203"/>
      <c r="AQ66" s="203"/>
      <c r="AR66" s="203"/>
      <c r="AS66" s="203"/>
      <c r="AT66" s="203"/>
      <c r="AU66" s="203"/>
      <c r="AV66" s="203"/>
      <c r="AW66" s="203"/>
      <c r="AX66" s="203"/>
    </row>
    <row r="67" spans="2:50" s="10" customFormat="1" x14ac:dyDescent="0.2">
      <c r="B67" s="11"/>
      <c r="C67" s="11"/>
      <c r="D67" s="11"/>
      <c r="E67" s="11"/>
      <c r="F67" s="11"/>
      <c r="G67" s="11"/>
      <c r="H67" s="11"/>
      <c r="I67" s="11"/>
      <c r="J67" s="11"/>
      <c r="K67" s="11"/>
      <c r="L67" s="11"/>
      <c r="M67" s="11"/>
      <c r="N67" s="11"/>
      <c r="O67" s="11"/>
      <c r="P67" s="11"/>
      <c r="Q67" s="11"/>
      <c r="R67" s="204"/>
      <c r="T67" s="12"/>
      <c r="V67" s="13"/>
      <c r="W67" s="13"/>
      <c r="X67" s="13"/>
      <c r="Y67" s="11"/>
      <c r="Z67" s="11"/>
      <c r="AA67" s="13"/>
      <c r="AB67" s="13"/>
      <c r="AC67" s="13"/>
      <c r="AD67" s="13"/>
      <c r="AE67" s="13"/>
      <c r="AF67" s="11"/>
      <c r="AI67" s="13"/>
      <c r="AJ67" s="203"/>
      <c r="AK67" s="203"/>
      <c r="AL67" s="203"/>
      <c r="AM67" s="203"/>
      <c r="AN67" s="203"/>
      <c r="AO67" s="203"/>
      <c r="AP67" s="203"/>
      <c r="AQ67" s="203"/>
      <c r="AR67" s="203"/>
      <c r="AS67" s="203"/>
      <c r="AT67" s="203"/>
      <c r="AU67" s="203"/>
      <c r="AV67" s="203"/>
      <c r="AW67" s="203"/>
      <c r="AX67" s="203"/>
    </row>
    <row r="68" spans="2:50" s="10" customFormat="1" x14ac:dyDescent="0.2">
      <c r="B68" s="11"/>
      <c r="C68" s="11"/>
      <c r="D68" s="11"/>
      <c r="E68" s="11"/>
      <c r="F68" s="11"/>
      <c r="G68" s="11"/>
      <c r="H68" s="11"/>
      <c r="I68" s="11"/>
      <c r="J68" s="11"/>
      <c r="K68" s="11"/>
      <c r="L68" s="11"/>
      <c r="M68" s="11"/>
      <c r="N68" s="11"/>
      <c r="O68" s="11"/>
      <c r="P68" s="11"/>
      <c r="Q68" s="11"/>
      <c r="R68" s="204"/>
      <c r="T68" s="12"/>
      <c r="V68" s="13"/>
      <c r="W68" s="13"/>
      <c r="X68" s="13"/>
      <c r="Y68" s="11"/>
      <c r="Z68" s="11"/>
      <c r="AA68" s="13"/>
      <c r="AB68" s="13"/>
      <c r="AC68" s="13"/>
      <c r="AD68" s="13"/>
      <c r="AE68" s="13"/>
      <c r="AF68" s="11"/>
      <c r="AI68" s="13"/>
      <c r="AJ68" s="203"/>
      <c r="AK68" s="203"/>
      <c r="AL68" s="203"/>
      <c r="AM68" s="203"/>
      <c r="AN68" s="203"/>
      <c r="AO68" s="203"/>
      <c r="AP68" s="203"/>
      <c r="AQ68" s="203"/>
      <c r="AR68" s="203"/>
      <c r="AS68" s="203"/>
      <c r="AT68" s="203"/>
      <c r="AU68" s="203"/>
      <c r="AV68" s="203"/>
      <c r="AW68" s="203"/>
      <c r="AX68" s="203"/>
    </row>
    <row r="69" spans="2:50" s="10" customFormat="1" x14ac:dyDescent="0.2">
      <c r="B69" s="11"/>
      <c r="C69" s="11"/>
      <c r="D69" s="11"/>
      <c r="E69" s="11"/>
      <c r="F69" s="11"/>
      <c r="G69" s="11"/>
      <c r="H69" s="11"/>
      <c r="I69" s="11"/>
      <c r="J69" s="11"/>
      <c r="K69" s="11"/>
      <c r="L69" s="11"/>
      <c r="M69" s="11"/>
      <c r="N69" s="11"/>
      <c r="O69" s="11"/>
      <c r="P69" s="11"/>
      <c r="Q69" s="11"/>
      <c r="R69" s="204"/>
      <c r="T69" s="12"/>
      <c r="V69" s="13"/>
      <c r="W69" s="13"/>
      <c r="X69" s="13"/>
      <c r="Y69" s="11"/>
      <c r="Z69" s="11"/>
      <c r="AA69" s="13"/>
      <c r="AB69" s="13"/>
      <c r="AC69" s="13"/>
      <c r="AD69" s="13"/>
      <c r="AE69" s="13"/>
      <c r="AF69" s="11"/>
      <c r="AI69" s="13"/>
      <c r="AJ69" s="203"/>
      <c r="AK69" s="203"/>
      <c r="AL69" s="203"/>
      <c r="AM69" s="203"/>
      <c r="AN69" s="203"/>
      <c r="AO69" s="203"/>
      <c r="AP69" s="203"/>
      <c r="AQ69" s="203"/>
      <c r="AR69" s="203"/>
      <c r="AS69" s="203"/>
      <c r="AT69" s="203"/>
      <c r="AU69" s="203"/>
      <c r="AV69" s="203"/>
      <c r="AW69" s="203"/>
      <c r="AX69" s="203"/>
    </row>
    <row r="70" spans="2:50" s="10" customFormat="1" x14ac:dyDescent="0.2">
      <c r="B70" s="11"/>
      <c r="C70" s="11"/>
      <c r="D70" s="11"/>
      <c r="E70" s="11"/>
      <c r="F70" s="11"/>
      <c r="G70" s="11"/>
      <c r="H70" s="11"/>
      <c r="I70" s="11"/>
      <c r="J70" s="11"/>
      <c r="K70" s="11"/>
      <c r="L70" s="11"/>
      <c r="M70" s="11"/>
      <c r="N70" s="11"/>
      <c r="O70" s="11"/>
      <c r="P70" s="11"/>
      <c r="Q70" s="11"/>
      <c r="R70" s="204"/>
      <c r="T70" s="12"/>
      <c r="V70" s="13"/>
      <c r="W70" s="13"/>
      <c r="X70" s="13"/>
      <c r="Y70" s="11"/>
      <c r="Z70" s="11"/>
      <c r="AA70" s="13"/>
      <c r="AB70" s="13"/>
      <c r="AC70" s="13"/>
      <c r="AD70" s="13"/>
      <c r="AE70" s="13"/>
      <c r="AI70" s="13"/>
      <c r="AJ70" s="203"/>
      <c r="AK70" s="203"/>
      <c r="AL70" s="203"/>
      <c r="AM70" s="203"/>
      <c r="AN70" s="203"/>
      <c r="AO70" s="203"/>
      <c r="AP70" s="203"/>
      <c r="AQ70" s="203"/>
      <c r="AR70" s="203"/>
      <c r="AS70" s="203"/>
      <c r="AT70" s="203"/>
      <c r="AU70" s="203"/>
      <c r="AV70" s="203"/>
      <c r="AW70" s="203"/>
      <c r="AX70" s="203"/>
    </row>
    <row r="71" spans="2:50" s="10" customFormat="1" x14ac:dyDescent="0.2">
      <c r="B71" s="11"/>
      <c r="C71" s="11"/>
      <c r="D71" s="11"/>
      <c r="E71" s="11"/>
      <c r="F71" s="11"/>
      <c r="G71" s="11"/>
      <c r="H71" s="11"/>
      <c r="I71" s="11"/>
      <c r="J71" s="11"/>
      <c r="K71" s="11"/>
      <c r="L71" s="11"/>
      <c r="M71" s="11"/>
      <c r="N71" s="11"/>
      <c r="O71" s="11"/>
      <c r="P71" s="11"/>
      <c r="Q71" s="11"/>
      <c r="R71" s="204"/>
      <c r="T71" s="12"/>
      <c r="V71" s="13"/>
      <c r="W71" s="13"/>
      <c r="X71" s="13"/>
      <c r="Y71" s="11"/>
      <c r="Z71" s="11"/>
      <c r="AA71" s="13"/>
      <c r="AB71" s="13"/>
      <c r="AC71" s="13"/>
      <c r="AD71" s="13"/>
      <c r="AE71" s="13"/>
      <c r="AI71" s="13"/>
      <c r="AJ71" s="203"/>
      <c r="AK71" s="203"/>
      <c r="AL71" s="203"/>
      <c r="AM71" s="203"/>
      <c r="AN71" s="203"/>
      <c r="AO71" s="203"/>
      <c r="AP71" s="203"/>
      <c r="AQ71" s="203"/>
      <c r="AR71" s="203"/>
      <c r="AS71" s="203"/>
      <c r="AT71" s="203"/>
      <c r="AU71" s="203"/>
      <c r="AV71" s="203"/>
      <c r="AW71" s="203"/>
      <c r="AX71" s="203"/>
    </row>
    <row r="72" spans="2:50" s="10" customFormat="1" x14ac:dyDescent="0.2">
      <c r="B72" s="11"/>
      <c r="C72" s="11"/>
      <c r="D72" s="11"/>
      <c r="E72" s="11"/>
      <c r="F72" s="11"/>
      <c r="G72" s="11"/>
      <c r="H72" s="11"/>
      <c r="I72" s="11"/>
      <c r="J72" s="11"/>
      <c r="K72" s="11"/>
      <c r="L72" s="11"/>
      <c r="M72" s="11"/>
      <c r="N72" s="11"/>
      <c r="O72" s="11"/>
      <c r="P72" s="11"/>
      <c r="Q72" s="11"/>
      <c r="R72" s="204"/>
      <c r="T72" s="12"/>
      <c r="V72" s="13"/>
      <c r="W72" s="13"/>
      <c r="X72" s="13"/>
      <c r="Y72" s="11"/>
      <c r="Z72" s="11"/>
      <c r="AA72" s="13"/>
      <c r="AB72" s="13"/>
      <c r="AC72" s="13"/>
      <c r="AD72" s="13"/>
      <c r="AE72" s="13"/>
      <c r="AI72" s="13"/>
      <c r="AJ72" s="203"/>
      <c r="AK72" s="203"/>
      <c r="AL72" s="203"/>
      <c r="AM72" s="203"/>
      <c r="AN72" s="203"/>
      <c r="AO72" s="203"/>
      <c r="AP72" s="203"/>
      <c r="AQ72" s="203"/>
      <c r="AR72" s="203"/>
      <c r="AS72" s="203"/>
      <c r="AT72" s="203"/>
      <c r="AU72" s="203"/>
      <c r="AV72" s="203"/>
      <c r="AW72" s="203"/>
      <c r="AX72" s="203"/>
    </row>
    <row r="73" spans="2:50" s="10" customFormat="1" x14ac:dyDescent="0.2">
      <c r="B73" s="11"/>
      <c r="C73" s="11"/>
      <c r="D73" s="11"/>
      <c r="E73" s="11"/>
      <c r="F73" s="11"/>
      <c r="G73" s="11"/>
      <c r="H73" s="11"/>
      <c r="I73" s="11"/>
      <c r="J73" s="11"/>
      <c r="K73" s="11"/>
      <c r="L73" s="11"/>
      <c r="M73" s="11"/>
      <c r="N73" s="11"/>
      <c r="O73" s="11"/>
      <c r="P73" s="11"/>
      <c r="Q73" s="11"/>
      <c r="R73" s="204"/>
      <c r="T73" s="12"/>
      <c r="V73" s="13"/>
      <c r="W73" s="13"/>
      <c r="X73" s="13"/>
      <c r="Y73" s="11"/>
      <c r="Z73" s="11"/>
      <c r="AA73" s="13"/>
      <c r="AB73" s="13"/>
      <c r="AC73" s="13"/>
      <c r="AD73" s="13"/>
      <c r="AE73" s="13"/>
      <c r="AI73" s="13"/>
      <c r="AJ73" s="203"/>
      <c r="AK73" s="203"/>
      <c r="AL73" s="203"/>
      <c r="AM73" s="203"/>
      <c r="AN73" s="203"/>
      <c r="AO73" s="203"/>
      <c r="AP73" s="203"/>
      <c r="AQ73" s="203"/>
      <c r="AR73" s="203"/>
      <c r="AS73" s="203"/>
      <c r="AT73" s="203"/>
      <c r="AU73" s="203"/>
      <c r="AV73" s="203"/>
      <c r="AW73" s="203"/>
      <c r="AX73" s="203"/>
    </row>
    <row r="74" spans="2:50" s="10" customFormat="1" x14ac:dyDescent="0.2">
      <c r="B74" s="11"/>
      <c r="C74" s="11"/>
      <c r="D74" s="11"/>
      <c r="E74" s="11"/>
      <c r="F74" s="11"/>
      <c r="G74" s="11"/>
      <c r="H74" s="11"/>
      <c r="I74" s="11"/>
      <c r="J74" s="11"/>
      <c r="K74" s="11"/>
      <c r="L74" s="11"/>
      <c r="M74" s="11"/>
      <c r="N74" s="11"/>
      <c r="O74" s="11"/>
      <c r="P74" s="11"/>
      <c r="Q74" s="11"/>
      <c r="R74" s="204"/>
      <c r="T74" s="12"/>
      <c r="V74" s="13"/>
      <c r="W74" s="13"/>
      <c r="X74" s="13"/>
      <c r="Y74" s="11"/>
      <c r="Z74" s="11"/>
      <c r="AA74" s="13"/>
      <c r="AB74" s="13"/>
      <c r="AC74" s="13"/>
      <c r="AD74" s="13"/>
      <c r="AE74" s="13"/>
      <c r="AI74" s="13"/>
      <c r="AJ74" s="203"/>
      <c r="AK74" s="203"/>
      <c r="AL74" s="203"/>
      <c r="AM74" s="203"/>
      <c r="AN74" s="203"/>
      <c r="AO74" s="203"/>
      <c r="AP74" s="203"/>
      <c r="AQ74" s="203"/>
      <c r="AR74" s="203"/>
      <c r="AS74" s="203"/>
      <c r="AT74" s="203"/>
      <c r="AU74" s="203"/>
      <c r="AV74" s="203"/>
      <c r="AW74" s="203"/>
      <c r="AX74" s="203"/>
    </row>
    <row r="75" spans="2:50" s="10" customFormat="1" x14ac:dyDescent="0.2">
      <c r="B75" s="11"/>
      <c r="C75" s="11"/>
      <c r="D75" s="11"/>
      <c r="E75" s="11"/>
      <c r="F75" s="11"/>
      <c r="G75" s="11"/>
      <c r="H75" s="11"/>
      <c r="I75" s="11"/>
      <c r="J75" s="11"/>
      <c r="K75" s="11"/>
      <c r="L75" s="11"/>
      <c r="M75" s="11"/>
      <c r="N75" s="11"/>
      <c r="O75" s="11"/>
      <c r="P75" s="11"/>
      <c r="Q75" s="11"/>
      <c r="R75" s="204"/>
      <c r="T75" s="12"/>
      <c r="V75" s="13"/>
      <c r="W75" s="13"/>
      <c r="X75" s="13"/>
      <c r="Y75" s="11"/>
      <c r="Z75" s="11"/>
      <c r="AA75" s="13"/>
      <c r="AB75" s="13"/>
      <c r="AC75" s="13"/>
      <c r="AD75" s="13"/>
      <c r="AE75" s="13"/>
      <c r="AI75" s="13"/>
      <c r="AJ75" s="203"/>
      <c r="AK75" s="203"/>
      <c r="AL75" s="203"/>
      <c r="AM75" s="203"/>
      <c r="AN75" s="203"/>
      <c r="AO75" s="203"/>
      <c r="AP75" s="203"/>
      <c r="AQ75" s="203"/>
      <c r="AR75" s="203"/>
      <c r="AS75" s="203"/>
      <c r="AT75" s="203"/>
      <c r="AU75" s="203"/>
      <c r="AV75" s="203"/>
      <c r="AW75" s="203"/>
      <c r="AX75" s="203"/>
    </row>
    <row r="76" spans="2:50" s="10" customFormat="1" x14ac:dyDescent="0.2">
      <c r="B76" s="11"/>
      <c r="C76" s="11"/>
      <c r="D76" s="11"/>
      <c r="E76" s="11"/>
      <c r="F76" s="11"/>
      <c r="G76" s="11"/>
      <c r="H76" s="11"/>
      <c r="I76" s="11"/>
      <c r="J76" s="11"/>
      <c r="K76" s="11"/>
      <c r="L76" s="11"/>
      <c r="M76" s="11"/>
      <c r="N76" s="11"/>
      <c r="O76" s="11"/>
      <c r="P76" s="11"/>
      <c r="Q76" s="11"/>
      <c r="R76" s="204"/>
      <c r="T76" s="12"/>
      <c r="V76" s="13"/>
      <c r="W76" s="13"/>
      <c r="X76" s="13"/>
      <c r="Y76" s="11"/>
      <c r="Z76" s="11"/>
      <c r="AA76" s="13"/>
      <c r="AB76" s="13"/>
      <c r="AC76" s="13"/>
      <c r="AD76" s="13"/>
      <c r="AE76" s="13"/>
      <c r="AI76" s="13"/>
      <c r="AJ76" s="203"/>
      <c r="AK76" s="203"/>
      <c r="AL76" s="203"/>
      <c r="AM76" s="203"/>
      <c r="AN76" s="203"/>
      <c r="AO76" s="203"/>
      <c r="AP76" s="203"/>
      <c r="AQ76" s="203"/>
      <c r="AR76" s="203"/>
      <c r="AS76" s="203"/>
      <c r="AT76" s="203"/>
      <c r="AU76" s="203"/>
      <c r="AV76" s="203"/>
      <c r="AW76" s="203"/>
      <c r="AX76" s="203"/>
    </row>
    <row r="77" spans="2:50" s="10" customFormat="1" x14ac:dyDescent="0.2">
      <c r="B77" s="11"/>
      <c r="C77" s="11"/>
      <c r="D77" s="11"/>
      <c r="E77" s="11"/>
      <c r="F77" s="11"/>
      <c r="G77" s="11"/>
      <c r="H77" s="11"/>
      <c r="I77" s="11"/>
      <c r="J77" s="11"/>
      <c r="K77" s="11"/>
      <c r="L77" s="11"/>
      <c r="M77" s="11"/>
      <c r="N77" s="11"/>
      <c r="O77" s="11"/>
      <c r="P77" s="11"/>
      <c r="Q77" s="11"/>
      <c r="R77" s="204"/>
      <c r="T77" s="12"/>
      <c r="V77" s="13"/>
      <c r="W77" s="13"/>
      <c r="X77" s="13"/>
      <c r="Y77" s="11"/>
      <c r="Z77" s="11"/>
      <c r="AA77" s="13"/>
      <c r="AB77" s="13"/>
      <c r="AC77" s="13"/>
      <c r="AD77" s="13"/>
      <c r="AE77" s="13"/>
      <c r="AI77" s="13"/>
      <c r="AJ77" s="203"/>
      <c r="AK77" s="203"/>
      <c r="AL77" s="203"/>
      <c r="AM77" s="203"/>
      <c r="AN77" s="203"/>
      <c r="AO77" s="203"/>
      <c r="AP77" s="203"/>
      <c r="AQ77" s="203"/>
      <c r="AR77" s="203"/>
      <c r="AS77" s="203"/>
      <c r="AT77" s="203"/>
      <c r="AU77" s="203"/>
      <c r="AV77" s="203"/>
      <c r="AW77" s="203"/>
      <c r="AX77" s="203"/>
    </row>
    <row r="78" spans="2:50" s="10" customFormat="1" x14ac:dyDescent="0.2">
      <c r="B78" s="11"/>
      <c r="C78" s="11"/>
      <c r="D78" s="11"/>
      <c r="E78" s="11"/>
      <c r="F78" s="11"/>
      <c r="G78" s="11"/>
      <c r="H78" s="11"/>
      <c r="I78" s="11"/>
      <c r="J78" s="11"/>
      <c r="K78" s="11"/>
      <c r="L78" s="11"/>
      <c r="M78" s="11"/>
      <c r="N78" s="11"/>
      <c r="O78" s="11"/>
      <c r="P78" s="11"/>
      <c r="Q78" s="11"/>
      <c r="R78" s="204"/>
      <c r="T78" s="12"/>
      <c r="V78" s="13"/>
      <c r="W78" s="13"/>
      <c r="X78" s="13"/>
      <c r="Y78" s="11"/>
      <c r="Z78" s="11"/>
      <c r="AA78" s="13"/>
      <c r="AB78" s="13"/>
      <c r="AC78" s="13"/>
      <c r="AD78" s="13"/>
      <c r="AE78" s="13"/>
      <c r="AI78" s="13"/>
      <c r="AJ78" s="203"/>
      <c r="AK78" s="203"/>
      <c r="AL78" s="203"/>
      <c r="AM78" s="203"/>
      <c r="AN78" s="203"/>
      <c r="AO78" s="203"/>
      <c r="AP78" s="203"/>
      <c r="AQ78" s="203"/>
      <c r="AR78" s="203"/>
      <c r="AS78" s="203"/>
      <c r="AT78" s="203"/>
      <c r="AU78" s="203"/>
      <c r="AV78" s="203"/>
      <c r="AW78" s="203"/>
      <c r="AX78" s="203"/>
    </row>
    <row r="79" spans="2:50" s="10" customFormat="1" x14ac:dyDescent="0.2">
      <c r="B79" s="11"/>
      <c r="C79" s="11"/>
      <c r="D79" s="11"/>
      <c r="E79" s="11"/>
      <c r="F79" s="11"/>
      <c r="G79" s="11"/>
      <c r="H79" s="11"/>
      <c r="I79" s="11"/>
      <c r="J79" s="11"/>
      <c r="K79" s="11"/>
      <c r="L79" s="11"/>
      <c r="M79" s="11"/>
      <c r="N79" s="11"/>
      <c r="O79" s="11"/>
      <c r="P79" s="11"/>
      <c r="Q79" s="11"/>
      <c r="R79" s="204"/>
      <c r="T79" s="12"/>
      <c r="V79" s="13"/>
      <c r="W79" s="13"/>
      <c r="X79" s="13"/>
      <c r="Y79" s="11"/>
      <c r="Z79" s="11"/>
      <c r="AA79" s="13"/>
      <c r="AB79" s="13"/>
      <c r="AC79" s="13"/>
      <c r="AD79" s="13"/>
      <c r="AE79" s="13"/>
      <c r="AI79" s="13"/>
      <c r="AJ79" s="203"/>
      <c r="AK79" s="203"/>
      <c r="AL79" s="203"/>
      <c r="AM79" s="203"/>
      <c r="AN79" s="203"/>
      <c r="AO79" s="203"/>
      <c r="AP79" s="203"/>
      <c r="AQ79" s="203"/>
      <c r="AR79" s="203"/>
      <c r="AS79" s="203"/>
      <c r="AT79" s="203"/>
      <c r="AU79" s="203"/>
      <c r="AV79" s="203"/>
      <c r="AW79" s="203"/>
      <c r="AX79" s="203"/>
    </row>
    <row r="80" spans="2:50" s="10" customFormat="1" x14ac:dyDescent="0.2">
      <c r="B80" s="11"/>
      <c r="C80" s="11"/>
      <c r="D80" s="11"/>
      <c r="E80" s="11"/>
      <c r="F80" s="11"/>
      <c r="G80" s="11"/>
      <c r="H80" s="11"/>
      <c r="I80" s="11"/>
      <c r="J80" s="11"/>
      <c r="K80" s="11"/>
      <c r="L80" s="11"/>
      <c r="M80" s="11"/>
      <c r="N80" s="11"/>
      <c r="O80" s="11"/>
      <c r="P80" s="11"/>
      <c r="Q80" s="11"/>
      <c r="R80" s="204"/>
      <c r="T80" s="12"/>
      <c r="V80" s="13"/>
      <c r="W80" s="13"/>
      <c r="X80" s="13"/>
      <c r="Y80" s="11"/>
      <c r="Z80" s="11"/>
      <c r="AA80" s="13"/>
      <c r="AB80" s="13"/>
      <c r="AC80" s="13"/>
      <c r="AD80" s="13"/>
      <c r="AE80" s="13"/>
      <c r="AI80" s="13"/>
      <c r="AJ80" s="203"/>
      <c r="AK80" s="203"/>
      <c r="AL80" s="203"/>
      <c r="AM80" s="203"/>
      <c r="AN80" s="203"/>
      <c r="AO80" s="203"/>
      <c r="AP80" s="203"/>
      <c r="AQ80" s="203"/>
      <c r="AR80" s="203"/>
      <c r="AS80" s="203"/>
      <c r="AT80" s="203"/>
      <c r="AU80" s="203"/>
      <c r="AV80" s="203"/>
      <c r="AW80" s="203"/>
      <c r="AX80" s="203"/>
    </row>
    <row r="81" spans="2:50" s="10" customFormat="1" x14ac:dyDescent="0.2">
      <c r="B81" s="11"/>
      <c r="C81" s="11"/>
      <c r="D81" s="11"/>
      <c r="E81" s="11"/>
      <c r="F81" s="11"/>
      <c r="G81" s="11"/>
      <c r="H81" s="11"/>
      <c r="I81" s="11"/>
      <c r="J81" s="11"/>
      <c r="K81" s="11"/>
      <c r="L81" s="11"/>
      <c r="M81" s="11"/>
      <c r="N81" s="11"/>
      <c r="O81" s="11"/>
      <c r="P81" s="11"/>
      <c r="Q81" s="11"/>
      <c r="R81" s="204"/>
      <c r="T81" s="12"/>
      <c r="V81" s="13"/>
      <c r="W81" s="13"/>
      <c r="X81" s="13"/>
      <c r="Y81" s="11"/>
      <c r="Z81" s="11"/>
      <c r="AA81" s="13"/>
      <c r="AB81" s="13"/>
      <c r="AC81" s="13"/>
      <c r="AD81" s="13"/>
      <c r="AE81" s="13"/>
      <c r="AI81" s="13"/>
      <c r="AJ81" s="203"/>
      <c r="AK81" s="203"/>
      <c r="AL81" s="203"/>
      <c r="AM81" s="203"/>
      <c r="AN81" s="203"/>
      <c r="AO81" s="203"/>
      <c r="AP81" s="203"/>
      <c r="AQ81" s="203"/>
      <c r="AR81" s="203"/>
      <c r="AS81" s="203"/>
      <c r="AT81" s="203"/>
      <c r="AU81" s="203"/>
      <c r="AV81" s="203"/>
      <c r="AW81" s="203"/>
      <c r="AX81" s="203"/>
    </row>
    <row r="82" spans="2:50" s="10" customFormat="1" x14ac:dyDescent="0.2">
      <c r="B82" s="11"/>
      <c r="C82" s="11"/>
      <c r="D82" s="11"/>
      <c r="E82" s="11"/>
      <c r="F82" s="11"/>
      <c r="G82" s="11"/>
      <c r="H82" s="11"/>
      <c r="I82" s="11"/>
      <c r="J82" s="11"/>
      <c r="K82" s="11"/>
      <c r="L82" s="11"/>
      <c r="M82" s="11"/>
      <c r="N82" s="11"/>
      <c r="O82" s="11"/>
      <c r="P82" s="11"/>
      <c r="Q82" s="11"/>
      <c r="R82" s="204"/>
      <c r="T82" s="12"/>
      <c r="V82" s="13"/>
      <c r="W82" s="13"/>
      <c r="X82" s="13"/>
      <c r="Y82" s="11"/>
      <c r="Z82" s="11"/>
      <c r="AA82" s="13"/>
      <c r="AB82" s="13"/>
      <c r="AC82" s="13"/>
      <c r="AD82" s="13"/>
      <c r="AE82" s="13"/>
      <c r="AI82" s="13"/>
      <c r="AJ82" s="203"/>
      <c r="AK82" s="203"/>
      <c r="AL82" s="203"/>
      <c r="AM82" s="203"/>
      <c r="AN82" s="203"/>
      <c r="AO82" s="203"/>
      <c r="AP82" s="203"/>
      <c r="AQ82" s="203"/>
      <c r="AR82" s="203"/>
      <c r="AS82" s="203"/>
      <c r="AT82" s="203"/>
      <c r="AU82" s="203"/>
      <c r="AV82" s="203"/>
      <c r="AW82" s="203"/>
      <c r="AX82" s="203"/>
    </row>
    <row r="83" spans="2:50" s="10" customFormat="1" x14ac:dyDescent="0.2">
      <c r="B83" s="11"/>
      <c r="C83" s="11"/>
      <c r="D83" s="11"/>
      <c r="E83" s="11"/>
      <c r="F83" s="11"/>
      <c r="G83" s="11"/>
      <c r="H83" s="11"/>
      <c r="I83" s="11"/>
      <c r="J83" s="11"/>
      <c r="K83" s="11"/>
      <c r="L83" s="11"/>
      <c r="M83" s="11"/>
      <c r="N83" s="11"/>
      <c r="O83" s="11"/>
      <c r="P83" s="11"/>
      <c r="Q83" s="11"/>
      <c r="R83" s="204"/>
      <c r="T83" s="12"/>
      <c r="V83" s="13"/>
      <c r="W83" s="13"/>
      <c r="X83" s="13"/>
      <c r="Y83" s="11"/>
      <c r="Z83" s="11"/>
      <c r="AA83" s="13"/>
      <c r="AB83" s="13"/>
      <c r="AC83" s="13"/>
      <c r="AD83" s="13"/>
      <c r="AE83" s="13"/>
      <c r="AI83" s="13"/>
      <c r="AJ83" s="203"/>
      <c r="AK83" s="203"/>
      <c r="AL83" s="203"/>
      <c r="AM83" s="203"/>
      <c r="AN83" s="203"/>
      <c r="AO83" s="203"/>
      <c r="AP83" s="203"/>
      <c r="AQ83" s="203"/>
      <c r="AR83" s="203"/>
      <c r="AS83" s="203"/>
      <c r="AT83" s="203"/>
      <c r="AU83" s="203"/>
      <c r="AV83" s="203"/>
      <c r="AW83" s="203"/>
      <c r="AX83" s="203"/>
    </row>
    <row r="84" spans="2:50" s="10" customFormat="1" x14ac:dyDescent="0.2">
      <c r="B84" s="11"/>
      <c r="C84" s="11"/>
      <c r="D84" s="11"/>
      <c r="E84" s="11"/>
      <c r="F84" s="11"/>
      <c r="G84" s="11"/>
      <c r="H84" s="11"/>
      <c r="I84" s="11"/>
      <c r="J84" s="11"/>
      <c r="K84" s="11"/>
      <c r="L84" s="11"/>
      <c r="M84" s="11"/>
      <c r="N84" s="11"/>
      <c r="O84" s="11"/>
      <c r="P84" s="11"/>
      <c r="Q84" s="11"/>
      <c r="R84" s="204"/>
      <c r="T84" s="12"/>
      <c r="V84" s="13"/>
      <c r="W84" s="13"/>
      <c r="X84" s="13"/>
      <c r="Y84" s="11"/>
      <c r="Z84" s="11"/>
      <c r="AA84" s="13"/>
      <c r="AB84" s="13"/>
      <c r="AC84" s="13"/>
      <c r="AD84" s="13"/>
      <c r="AE84" s="13"/>
      <c r="AI84" s="13"/>
      <c r="AJ84" s="203"/>
      <c r="AK84" s="203"/>
      <c r="AL84" s="203"/>
      <c r="AM84" s="203"/>
      <c r="AN84" s="203"/>
      <c r="AO84" s="203"/>
      <c r="AP84" s="203"/>
      <c r="AQ84" s="203"/>
      <c r="AR84" s="203"/>
      <c r="AS84" s="203"/>
      <c r="AT84" s="203"/>
      <c r="AU84" s="203"/>
      <c r="AV84" s="203"/>
      <c r="AW84" s="203"/>
      <c r="AX84" s="203"/>
    </row>
    <row r="85" spans="2:50" s="10" customFormat="1" x14ac:dyDescent="0.2">
      <c r="B85" s="11"/>
      <c r="C85" s="11"/>
      <c r="D85" s="11"/>
      <c r="E85" s="11"/>
      <c r="F85" s="11"/>
      <c r="G85" s="11"/>
      <c r="H85" s="11"/>
      <c r="I85" s="11"/>
      <c r="J85" s="11"/>
      <c r="K85" s="11"/>
      <c r="L85" s="11"/>
      <c r="M85" s="11"/>
      <c r="N85" s="11"/>
      <c r="O85" s="11"/>
      <c r="P85" s="11"/>
      <c r="Q85" s="11"/>
      <c r="R85" s="204"/>
    </row>
    <row r="86" spans="2:50" s="10" customFormat="1" x14ac:dyDescent="0.2">
      <c r="B86" s="11"/>
      <c r="C86" s="11"/>
      <c r="D86" s="11"/>
      <c r="E86" s="11"/>
      <c r="F86" s="11"/>
      <c r="G86" s="11"/>
      <c r="H86" s="11"/>
      <c r="I86" s="11"/>
      <c r="J86" s="11"/>
      <c r="K86" s="11"/>
      <c r="L86" s="11"/>
      <c r="M86" s="11"/>
      <c r="N86" s="11"/>
      <c r="O86" s="11"/>
      <c r="P86" s="11"/>
      <c r="Q86" s="11"/>
      <c r="R86" s="204"/>
    </row>
    <row r="87" spans="2:50" s="10" customFormat="1" x14ac:dyDescent="0.2">
      <c r="B87" s="11"/>
      <c r="C87" s="11"/>
      <c r="D87" s="11"/>
      <c r="E87" s="11"/>
      <c r="F87" s="11"/>
      <c r="G87" s="11"/>
      <c r="H87" s="11"/>
      <c r="I87" s="11"/>
      <c r="J87" s="11"/>
      <c r="K87" s="11"/>
      <c r="L87" s="11"/>
      <c r="M87" s="11"/>
      <c r="N87" s="11"/>
      <c r="O87" s="11"/>
      <c r="P87" s="11"/>
      <c r="Q87" s="11"/>
      <c r="R87" s="204"/>
    </row>
    <row r="88" spans="2:50" s="10" customFormat="1" x14ac:dyDescent="0.2">
      <c r="B88" s="11"/>
      <c r="C88" s="11"/>
      <c r="D88" s="11"/>
      <c r="E88" s="11"/>
      <c r="F88" s="11"/>
      <c r="G88" s="11"/>
      <c r="H88" s="11"/>
      <c r="I88" s="11"/>
      <c r="J88" s="11"/>
      <c r="K88" s="11"/>
      <c r="L88" s="11"/>
      <c r="M88" s="11"/>
      <c r="N88" s="11"/>
      <c r="O88" s="11"/>
      <c r="P88" s="11"/>
      <c r="Q88" s="11"/>
      <c r="R88" s="204"/>
    </row>
    <row r="89" spans="2:50" s="10" customFormat="1" x14ac:dyDescent="0.2">
      <c r="B89" s="11"/>
      <c r="C89" s="11"/>
      <c r="D89" s="11"/>
      <c r="E89" s="11"/>
      <c r="F89" s="11"/>
      <c r="G89" s="11"/>
      <c r="H89" s="11"/>
      <c r="I89" s="11"/>
      <c r="J89" s="11"/>
      <c r="K89" s="11"/>
      <c r="L89" s="11"/>
      <c r="M89" s="11"/>
      <c r="N89" s="11"/>
      <c r="O89" s="11"/>
      <c r="P89" s="11"/>
      <c r="Q89" s="11"/>
      <c r="R89" s="204"/>
    </row>
    <row r="90" spans="2:50" s="10" customFormat="1" x14ac:dyDescent="0.2">
      <c r="B90" s="11"/>
      <c r="C90" s="11"/>
      <c r="D90" s="11"/>
      <c r="E90" s="11"/>
      <c r="F90" s="11"/>
      <c r="G90" s="11"/>
      <c r="H90" s="11"/>
      <c r="I90" s="11"/>
      <c r="J90" s="11"/>
      <c r="K90" s="11"/>
      <c r="L90" s="11"/>
      <c r="M90" s="11"/>
      <c r="N90" s="11"/>
      <c r="O90" s="11"/>
      <c r="P90" s="11"/>
      <c r="Q90" s="11"/>
      <c r="R90" s="204"/>
    </row>
    <row r="91" spans="2:50" s="10" customFormat="1" x14ac:dyDescent="0.2">
      <c r="B91" s="11"/>
      <c r="C91" s="11"/>
      <c r="D91" s="11"/>
      <c r="E91" s="11"/>
      <c r="F91" s="11"/>
      <c r="G91" s="11"/>
      <c r="H91" s="11"/>
      <c r="I91" s="11"/>
      <c r="J91" s="11"/>
      <c r="K91" s="11"/>
      <c r="L91" s="11"/>
      <c r="M91" s="11"/>
      <c r="N91" s="11"/>
      <c r="O91" s="11"/>
      <c r="P91" s="11"/>
      <c r="Q91" s="11"/>
      <c r="R91" s="204"/>
    </row>
    <row r="92" spans="2:50" s="10" customFormat="1" x14ac:dyDescent="0.2">
      <c r="B92" s="11"/>
      <c r="C92" s="11"/>
      <c r="D92" s="11"/>
      <c r="E92" s="11"/>
      <c r="F92" s="11"/>
      <c r="G92" s="11"/>
      <c r="H92" s="11"/>
      <c r="I92" s="11"/>
      <c r="J92" s="11"/>
      <c r="K92" s="11"/>
      <c r="L92" s="11"/>
      <c r="M92" s="11"/>
      <c r="N92" s="11"/>
      <c r="O92" s="11"/>
      <c r="P92" s="11"/>
      <c r="Q92" s="11"/>
      <c r="R92" s="204"/>
    </row>
    <row r="93" spans="2:50" s="10" customFormat="1" x14ac:dyDescent="0.2">
      <c r="B93" s="11"/>
      <c r="C93" s="11"/>
      <c r="D93" s="11"/>
      <c r="E93" s="11"/>
      <c r="F93" s="11"/>
      <c r="G93" s="11"/>
      <c r="H93" s="11"/>
      <c r="I93" s="11"/>
      <c r="J93" s="11"/>
      <c r="K93" s="11"/>
      <c r="L93" s="11"/>
      <c r="M93" s="11"/>
      <c r="N93" s="11"/>
      <c r="O93" s="11"/>
      <c r="P93" s="11"/>
      <c r="Q93" s="11"/>
      <c r="R93" s="204"/>
    </row>
    <row r="94" spans="2:50" s="10" customFormat="1" x14ac:dyDescent="0.2">
      <c r="B94" s="11"/>
      <c r="C94" s="11"/>
      <c r="D94" s="11"/>
      <c r="E94" s="11"/>
      <c r="F94" s="11"/>
      <c r="G94" s="11"/>
      <c r="H94" s="11"/>
      <c r="I94" s="11"/>
      <c r="J94" s="11"/>
      <c r="K94" s="11"/>
      <c r="L94" s="11"/>
      <c r="M94" s="11"/>
      <c r="N94" s="11"/>
      <c r="O94" s="11"/>
      <c r="P94" s="11"/>
      <c r="Q94" s="11"/>
      <c r="R94" s="204"/>
    </row>
    <row r="95" spans="2:50" s="10" customFormat="1" x14ac:dyDescent="0.2">
      <c r="B95" s="11"/>
      <c r="C95" s="11"/>
      <c r="D95" s="11"/>
      <c r="E95" s="11"/>
      <c r="F95" s="11"/>
      <c r="G95" s="11"/>
      <c r="H95" s="11"/>
      <c r="I95" s="11"/>
      <c r="J95" s="11"/>
      <c r="K95" s="11"/>
      <c r="L95" s="11"/>
      <c r="M95" s="11"/>
      <c r="N95" s="11"/>
      <c r="O95" s="11"/>
      <c r="P95" s="11"/>
      <c r="Q95" s="11"/>
      <c r="R95" s="204"/>
    </row>
    <row r="96" spans="2:50" s="10" customFormat="1" x14ac:dyDescent="0.2">
      <c r="B96" s="11"/>
      <c r="C96" s="11"/>
      <c r="D96" s="11"/>
      <c r="E96" s="11"/>
      <c r="F96" s="11"/>
      <c r="G96" s="11"/>
      <c r="H96" s="11"/>
      <c r="I96" s="11"/>
      <c r="J96" s="11"/>
      <c r="K96" s="11"/>
      <c r="L96" s="11"/>
      <c r="M96" s="11"/>
      <c r="N96" s="11"/>
      <c r="O96" s="11"/>
      <c r="P96" s="11"/>
      <c r="Q96" s="11"/>
      <c r="R96" s="204"/>
    </row>
    <row r="97" spans="2:18" s="10" customFormat="1" x14ac:dyDescent="0.2">
      <c r="B97" s="11"/>
      <c r="C97" s="11"/>
      <c r="D97" s="11"/>
      <c r="E97" s="11"/>
      <c r="F97" s="11"/>
      <c r="G97" s="11"/>
      <c r="H97" s="11"/>
      <c r="I97" s="11"/>
      <c r="J97" s="11"/>
      <c r="K97" s="11"/>
      <c r="L97" s="11"/>
      <c r="M97" s="11"/>
      <c r="N97" s="11"/>
      <c r="O97" s="11"/>
      <c r="P97" s="11"/>
      <c r="Q97" s="11"/>
      <c r="R97" s="204"/>
    </row>
    <row r="98" spans="2:18" s="10" customFormat="1" x14ac:dyDescent="0.2">
      <c r="B98" s="11"/>
      <c r="C98" s="11"/>
      <c r="D98" s="11"/>
      <c r="E98" s="11"/>
      <c r="F98" s="11"/>
      <c r="G98" s="11"/>
      <c r="H98" s="11"/>
      <c r="I98" s="11"/>
      <c r="J98" s="11"/>
      <c r="K98" s="11"/>
      <c r="L98" s="11"/>
      <c r="M98" s="11"/>
      <c r="N98" s="11"/>
      <c r="O98" s="11"/>
      <c r="P98" s="11"/>
      <c r="Q98" s="11"/>
      <c r="R98" s="204"/>
    </row>
    <row r="99" spans="2:18" s="10" customFormat="1" x14ac:dyDescent="0.2">
      <c r="B99" s="11"/>
      <c r="C99" s="11"/>
      <c r="D99" s="11"/>
      <c r="E99" s="11"/>
      <c r="F99" s="11"/>
      <c r="G99" s="11"/>
      <c r="H99" s="11"/>
      <c r="I99" s="11"/>
      <c r="J99" s="11"/>
      <c r="K99" s="11"/>
      <c r="L99" s="11"/>
      <c r="M99" s="11"/>
      <c r="N99" s="11"/>
      <c r="O99" s="11"/>
      <c r="P99" s="11"/>
      <c r="Q99" s="11"/>
      <c r="R99" s="204"/>
    </row>
    <row r="100" spans="2:18" s="10" customFormat="1" x14ac:dyDescent="0.2">
      <c r="B100" s="11"/>
      <c r="C100" s="11"/>
      <c r="D100" s="11"/>
      <c r="E100" s="11"/>
      <c r="F100" s="11"/>
      <c r="G100" s="11"/>
      <c r="H100" s="11"/>
      <c r="I100" s="11"/>
      <c r="J100" s="11"/>
      <c r="K100" s="11"/>
      <c r="L100" s="11"/>
      <c r="M100" s="11"/>
      <c r="N100" s="11"/>
      <c r="O100" s="11"/>
      <c r="P100" s="11"/>
      <c r="Q100" s="11"/>
      <c r="R100" s="204"/>
    </row>
    <row r="101" spans="2:18" s="10" customFormat="1" x14ac:dyDescent="0.2">
      <c r="B101" s="11"/>
      <c r="C101" s="11"/>
      <c r="D101" s="11"/>
      <c r="E101" s="11"/>
      <c r="F101" s="11"/>
      <c r="G101" s="11"/>
      <c r="H101" s="11"/>
      <c r="I101" s="11"/>
      <c r="J101" s="11"/>
      <c r="K101" s="11"/>
      <c r="L101" s="11"/>
      <c r="M101" s="11"/>
      <c r="N101" s="11"/>
      <c r="O101" s="11"/>
      <c r="P101" s="11"/>
      <c r="Q101" s="11"/>
      <c r="R101" s="204"/>
    </row>
    <row r="102" spans="2:18" s="10" customFormat="1" x14ac:dyDescent="0.2">
      <c r="B102" s="11"/>
      <c r="C102" s="11"/>
      <c r="D102" s="11"/>
      <c r="E102" s="11"/>
      <c r="F102" s="11"/>
      <c r="G102" s="11"/>
      <c r="H102" s="11"/>
      <c r="I102" s="11"/>
      <c r="J102" s="11"/>
      <c r="K102" s="11"/>
      <c r="L102" s="11"/>
      <c r="M102" s="11"/>
      <c r="N102" s="11"/>
      <c r="O102" s="11"/>
      <c r="P102" s="11"/>
      <c r="Q102" s="11"/>
      <c r="R102" s="204"/>
    </row>
    <row r="103" spans="2:18" s="10" customFormat="1" x14ac:dyDescent="0.2">
      <c r="B103" s="11"/>
      <c r="C103" s="11"/>
      <c r="D103" s="11"/>
      <c r="E103" s="11"/>
      <c r="F103" s="11"/>
      <c r="G103" s="11"/>
      <c r="H103" s="11"/>
      <c r="I103" s="11"/>
      <c r="J103" s="11"/>
      <c r="K103" s="11"/>
      <c r="L103" s="11"/>
      <c r="M103" s="11"/>
      <c r="N103" s="11"/>
      <c r="O103" s="11"/>
      <c r="P103" s="11"/>
      <c r="Q103" s="11"/>
      <c r="R103" s="204"/>
    </row>
    <row r="104" spans="2:18" s="10" customFormat="1" x14ac:dyDescent="0.2">
      <c r="B104" s="11"/>
      <c r="C104" s="11"/>
      <c r="D104" s="11"/>
      <c r="E104" s="11"/>
      <c r="F104" s="11"/>
      <c r="G104" s="11"/>
      <c r="H104" s="11"/>
      <c r="I104" s="11"/>
      <c r="J104" s="11"/>
      <c r="K104" s="11"/>
      <c r="L104" s="11"/>
      <c r="M104" s="11"/>
      <c r="N104" s="11"/>
      <c r="O104" s="11"/>
      <c r="P104" s="11"/>
      <c r="Q104" s="11"/>
      <c r="R104" s="204"/>
    </row>
    <row r="105" spans="2:18" s="10" customFormat="1" x14ac:dyDescent="0.2">
      <c r="B105" s="11"/>
      <c r="C105" s="11"/>
      <c r="D105" s="11"/>
      <c r="E105" s="11"/>
      <c r="F105" s="11"/>
      <c r="G105" s="11"/>
      <c r="H105" s="11"/>
      <c r="I105" s="11"/>
      <c r="J105" s="11"/>
      <c r="K105" s="11"/>
      <c r="L105" s="11"/>
      <c r="M105" s="11"/>
      <c r="N105" s="11"/>
      <c r="O105" s="11"/>
      <c r="P105" s="11"/>
      <c r="Q105" s="11"/>
      <c r="R105" s="204"/>
    </row>
    <row r="106" spans="2:18" s="10" customFormat="1" x14ac:dyDescent="0.2">
      <c r="B106" s="11"/>
      <c r="C106" s="11"/>
      <c r="D106" s="11"/>
      <c r="E106" s="11"/>
      <c r="F106" s="11"/>
      <c r="G106" s="11"/>
      <c r="H106" s="11"/>
      <c r="I106" s="11"/>
      <c r="J106" s="11"/>
      <c r="K106" s="11"/>
      <c r="L106" s="11"/>
      <c r="M106" s="11"/>
      <c r="N106" s="11"/>
      <c r="O106" s="11"/>
      <c r="P106" s="11"/>
      <c r="Q106" s="11"/>
      <c r="R106" s="204"/>
    </row>
    <row r="107" spans="2:18" s="10" customFormat="1" x14ac:dyDescent="0.2">
      <c r="B107" s="11"/>
      <c r="C107" s="11"/>
      <c r="D107" s="11"/>
      <c r="E107" s="11"/>
      <c r="F107" s="11"/>
      <c r="G107" s="11"/>
      <c r="H107" s="11"/>
      <c r="I107" s="11"/>
      <c r="J107" s="11"/>
      <c r="K107" s="11"/>
      <c r="L107" s="11"/>
      <c r="M107" s="11"/>
      <c r="N107" s="11"/>
      <c r="O107" s="11"/>
      <c r="P107" s="11"/>
      <c r="Q107" s="11"/>
      <c r="R107" s="204"/>
    </row>
    <row r="108" spans="2:18" s="10" customFormat="1" x14ac:dyDescent="0.2">
      <c r="B108" s="11"/>
      <c r="C108" s="11"/>
      <c r="D108" s="11"/>
      <c r="E108" s="11"/>
      <c r="F108" s="11"/>
      <c r="G108" s="11"/>
      <c r="H108" s="11"/>
      <c r="I108" s="11"/>
      <c r="J108" s="11"/>
      <c r="K108" s="11"/>
      <c r="L108" s="11"/>
      <c r="M108" s="11"/>
      <c r="N108" s="11"/>
      <c r="O108" s="11"/>
      <c r="P108" s="11"/>
      <c r="Q108" s="11"/>
      <c r="R108" s="204"/>
    </row>
    <row r="109" spans="2:18" s="10" customFormat="1" x14ac:dyDescent="0.2">
      <c r="B109" s="11"/>
      <c r="C109" s="11"/>
      <c r="D109" s="11"/>
      <c r="E109" s="11"/>
      <c r="F109" s="11"/>
      <c r="G109" s="11"/>
      <c r="H109" s="11"/>
      <c r="I109" s="11"/>
      <c r="J109" s="11"/>
      <c r="K109" s="11"/>
      <c r="L109" s="11"/>
      <c r="M109" s="11"/>
      <c r="N109" s="11"/>
      <c r="O109" s="11"/>
      <c r="P109" s="11"/>
      <c r="Q109" s="11"/>
      <c r="R109" s="204"/>
    </row>
    <row r="110" spans="2:18" s="10" customFormat="1" x14ac:dyDescent="0.2">
      <c r="B110" s="11"/>
      <c r="C110" s="11"/>
      <c r="D110" s="11"/>
      <c r="E110" s="11"/>
      <c r="F110" s="11"/>
      <c r="G110" s="11"/>
      <c r="H110" s="11"/>
      <c r="I110" s="11"/>
      <c r="J110" s="11"/>
      <c r="K110" s="11"/>
      <c r="L110" s="11"/>
      <c r="M110" s="11"/>
      <c r="N110" s="11"/>
      <c r="O110" s="11"/>
      <c r="P110" s="11"/>
      <c r="Q110" s="11"/>
      <c r="R110" s="204"/>
    </row>
    <row r="111" spans="2:18" s="10" customFormat="1" x14ac:dyDescent="0.2">
      <c r="B111" s="11"/>
      <c r="C111" s="11"/>
      <c r="D111" s="11"/>
      <c r="E111" s="11"/>
      <c r="F111" s="11"/>
      <c r="G111" s="11"/>
      <c r="H111" s="11"/>
      <c r="I111" s="11"/>
      <c r="J111" s="11"/>
      <c r="K111" s="11"/>
      <c r="L111" s="11"/>
      <c r="M111" s="11"/>
      <c r="N111" s="11"/>
      <c r="O111" s="11"/>
      <c r="P111" s="11"/>
      <c r="Q111" s="11"/>
      <c r="R111" s="204"/>
    </row>
    <row r="112" spans="2:18" s="10" customFormat="1" x14ac:dyDescent="0.2">
      <c r="B112" s="11"/>
      <c r="C112" s="11"/>
      <c r="D112" s="11"/>
      <c r="E112" s="11"/>
      <c r="F112" s="11"/>
      <c r="G112" s="11"/>
      <c r="H112" s="11"/>
      <c r="I112" s="11"/>
      <c r="J112" s="11"/>
      <c r="K112" s="11"/>
      <c r="L112" s="11"/>
      <c r="M112" s="11"/>
      <c r="N112" s="11"/>
      <c r="O112" s="11"/>
      <c r="P112" s="11"/>
      <c r="Q112" s="11"/>
      <c r="R112" s="204"/>
    </row>
    <row r="113" spans="2:18" s="10" customFormat="1" x14ac:dyDescent="0.2">
      <c r="B113" s="11"/>
      <c r="C113" s="11"/>
      <c r="D113" s="11"/>
      <c r="E113" s="11"/>
      <c r="F113" s="11"/>
      <c r="G113" s="11"/>
      <c r="H113" s="11"/>
      <c r="I113" s="11"/>
      <c r="J113" s="11"/>
      <c r="K113" s="11"/>
      <c r="L113" s="11"/>
      <c r="M113" s="11"/>
      <c r="N113" s="11"/>
      <c r="O113" s="11"/>
      <c r="P113" s="11"/>
      <c r="Q113" s="11"/>
      <c r="R113" s="204"/>
    </row>
    <row r="114" spans="2:18" s="10" customFormat="1" x14ac:dyDescent="0.2">
      <c r="B114" s="11"/>
      <c r="C114" s="11"/>
      <c r="D114" s="11"/>
      <c r="E114" s="11"/>
      <c r="F114" s="11"/>
      <c r="G114" s="11"/>
      <c r="H114" s="11"/>
      <c r="I114" s="11"/>
      <c r="J114" s="11"/>
      <c r="K114" s="11"/>
      <c r="L114" s="11"/>
      <c r="M114" s="11"/>
      <c r="N114" s="11"/>
      <c r="O114" s="11"/>
      <c r="P114" s="11"/>
      <c r="Q114" s="11"/>
      <c r="R114" s="204"/>
    </row>
    <row r="115" spans="2:18" s="10" customFormat="1" x14ac:dyDescent="0.2">
      <c r="B115" s="11"/>
      <c r="C115" s="11"/>
      <c r="D115" s="11"/>
      <c r="E115" s="11"/>
      <c r="F115" s="11"/>
      <c r="G115" s="11"/>
      <c r="H115" s="11"/>
      <c r="I115" s="11"/>
      <c r="J115" s="11"/>
      <c r="K115" s="11"/>
      <c r="L115" s="11"/>
      <c r="M115" s="11"/>
      <c r="N115" s="11"/>
      <c r="O115" s="11"/>
      <c r="P115" s="11"/>
      <c r="Q115" s="11"/>
      <c r="R115" s="204"/>
    </row>
    <row r="116" spans="2:18" s="10" customFormat="1" x14ac:dyDescent="0.2">
      <c r="B116" s="11"/>
      <c r="C116" s="11"/>
      <c r="D116" s="11"/>
      <c r="E116" s="11"/>
      <c r="F116" s="11"/>
      <c r="G116" s="11"/>
      <c r="H116" s="11"/>
      <c r="I116" s="11"/>
      <c r="J116" s="11"/>
      <c r="K116" s="11"/>
      <c r="L116" s="11"/>
      <c r="M116" s="11"/>
      <c r="N116" s="11"/>
      <c r="O116" s="11"/>
      <c r="P116" s="11"/>
      <c r="Q116" s="11"/>
      <c r="R116" s="204"/>
    </row>
    <row r="117" spans="2:18" s="10" customFormat="1" x14ac:dyDescent="0.2">
      <c r="B117" s="11"/>
      <c r="C117" s="11"/>
      <c r="D117" s="11"/>
      <c r="E117" s="11"/>
      <c r="F117" s="11"/>
      <c r="G117" s="11"/>
      <c r="H117" s="11"/>
      <c r="I117" s="11"/>
      <c r="J117" s="11"/>
      <c r="K117" s="11"/>
      <c r="L117" s="11"/>
      <c r="M117" s="11"/>
      <c r="N117" s="11"/>
      <c r="O117" s="11"/>
      <c r="P117" s="11"/>
      <c r="Q117" s="11"/>
      <c r="R117" s="204"/>
    </row>
    <row r="118" spans="2:18" s="10" customFormat="1" x14ac:dyDescent="0.2">
      <c r="B118" s="11"/>
      <c r="C118" s="11"/>
      <c r="D118" s="11"/>
      <c r="E118" s="11"/>
      <c r="F118" s="11"/>
      <c r="G118" s="11"/>
      <c r="H118" s="11"/>
      <c r="I118" s="11"/>
      <c r="J118" s="11"/>
      <c r="K118" s="11"/>
      <c r="L118" s="11"/>
      <c r="M118" s="11"/>
      <c r="N118" s="11"/>
      <c r="O118" s="11"/>
      <c r="P118" s="11"/>
      <c r="Q118" s="11"/>
      <c r="R118" s="204"/>
    </row>
    <row r="119" spans="2:18" s="10" customFormat="1" x14ac:dyDescent="0.2">
      <c r="B119" s="11"/>
      <c r="C119" s="11"/>
      <c r="D119" s="11"/>
      <c r="E119" s="11"/>
      <c r="F119" s="11"/>
      <c r="G119" s="11"/>
      <c r="H119" s="11"/>
      <c r="I119" s="11"/>
      <c r="J119" s="11"/>
      <c r="K119" s="11"/>
      <c r="L119" s="11"/>
      <c r="M119" s="11"/>
      <c r="N119" s="11"/>
      <c r="O119" s="11"/>
      <c r="P119" s="11"/>
      <c r="Q119" s="11"/>
      <c r="R119" s="204"/>
    </row>
    <row r="120" spans="2:18" s="10" customFormat="1" x14ac:dyDescent="0.2">
      <c r="B120" s="11"/>
      <c r="C120" s="11"/>
      <c r="D120" s="11"/>
      <c r="E120" s="11"/>
      <c r="F120" s="11"/>
      <c r="G120" s="11"/>
      <c r="H120" s="11"/>
      <c r="I120" s="11"/>
      <c r="J120" s="11"/>
      <c r="K120" s="11"/>
      <c r="L120" s="11"/>
      <c r="M120" s="11"/>
      <c r="N120" s="11"/>
      <c r="O120" s="11"/>
      <c r="P120" s="11"/>
      <c r="Q120" s="11"/>
      <c r="R120" s="204"/>
    </row>
    <row r="121" spans="2:18" s="10" customFormat="1" x14ac:dyDescent="0.2">
      <c r="B121" s="11"/>
      <c r="C121" s="11"/>
      <c r="D121" s="11"/>
      <c r="E121" s="11"/>
      <c r="F121" s="11"/>
      <c r="G121" s="11"/>
      <c r="H121" s="11"/>
      <c r="I121" s="11"/>
      <c r="J121" s="11"/>
      <c r="K121" s="11"/>
      <c r="L121" s="11"/>
      <c r="M121" s="11"/>
      <c r="N121" s="11"/>
      <c r="O121" s="11"/>
      <c r="P121" s="11"/>
      <c r="Q121" s="11"/>
      <c r="R121" s="204"/>
    </row>
    <row r="122" spans="2:18" s="10" customFormat="1" x14ac:dyDescent="0.2">
      <c r="B122" s="11"/>
      <c r="C122" s="11"/>
      <c r="D122" s="11"/>
      <c r="E122" s="11"/>
      <c r="F122" s="11"/>
      <c r="G122" s="11"/>
      <c r="H122" s="11"/>
      <c r="I122" s="11"/>
      <c r="J122" s="11"/>
      <c r="K122" s="11"/>
      <c r="L122" s="11"/>
      <c r="M122" s="11"/>
      <c r="N122" s="11"/>
      <c r="O122" s="11"/>
      <c r="P122" s="11"/>
      <c r="Q122" s="11"/>
      <c r="R122" s="204"/>
    </row>
    <row r="123" spans="2:18" s="10" customFormat="1" x14ac:dyDescent="0.2">
      <c r="B123" s="11"/>
      <c r="C123" s="11"/>
      <c r="D123" s="11"/>
      <c r="E123" s="11"/>
      <c r="F123" s="11"/>
      <c r="G123" s="11"/>
      <c r="H123" s="11"/>
      <c r="I123" s="11"/>
      <c r="J123" s="11"/>
      <c r="K123" s="11"/>
      <c r="L123" s="11"/>
      <c r="M123" s="11"/>
      <c r="N123" s="11"/>
      <c r="O123" s="11"/>
      <c r="P123" s="11"/>
      <c r="Q123" s="11"/>
      <c r="R123" s="204"/>
    </row>
    <row r="124" spans="2:18" s="10" customFormat="1" x14ac:dyDescent="0.2">
      <c r="B124" s="11"/>
      <c r="C124" s="11"/>
      <c r="D124" s="11"/>
      <c r="E124" s="11"/>
      <c r="F124" s="11"/>
      <c r="G124" s="11"/>
      <c r="H124" s="11"/>
      <c r="I124" s="11"/>
      <c r="J124" s="11"/>
      <c r="K124" s="11"/>
      <c r="L124" s="11"/>
      <c r="M124" s="11"/>
      <c r="N124" s="11"/>
      <c r="O124" s="11"/>
      <c r="P124" s="11"/>
      <c r="Q124" s="11"/>
      <c r="R124" s="204"/>
    </row>
    <row r="125" spans="2:18" s="10" customFormat="1" x14ac:dyDescent="0.2">
      <c r="R125" s="204"/>
    </row>
    <row r="126" spans="2:18" s="10" customFormat="1" x14ac:dyDescent="0.2">
      <c r="R126" s="204"/>
    </row>
    <row r="127" spans="2:18" s="10" customFormat="1" x14ac:dyDescent="0.2">
      <c r="R127" s="204"/>
    </row>
    <row r="128" spans="2:18" s="10" customFormat="1" x14ac:dyDescent="0.2">
      <c r="R128" s="204"/>
    </row>
    <row r="129" spans="18:18" s="10" customFormat="1" x14ac:dyDescent="0.2">
      <c r="R129" s="204"/>
    </row>
    <row r="130" spans="18:18" s="10" customFormat="1" x14ac:dyDescent="0.2">
      <c r="R130" s="204"/>
    </row>
    <row r="131" spans="18:18" s="10" customFormat="1" x14ac:dyDescent="0.2">
      <c r="R131" s="204"/>
    </row>
    <row r="132" spans="18:18" s="10" customFormat="1" x14ac:dyDescent="0.2">
      <c r="R132" s="204"/>
    </row>
    <row r="133" spans="18:18" s="10" customFormat="1" x14ac:dyDescent="0.2">
      <c r="R133" s="204"/>
    </row>
    <row r="134" spans="18:18" s="10" customFormat="1" x14ac:dyDescent="0.2">
      <c r="R134" s="204"/>
    </row>
    <row r="135" spans="18:18" s="10" customFormat="1" x14ac:dyDescent="0.2">
      <c r="R135" s="204"/>
    </row>
    <row r="136" spans="18:18" s="10" customFormat="1" x14ac:dyDescent="0.2">
      <c r="R136" s="204"/>
    </row>
    <row r="137" spans="18:18" s="10" customFormat="1" x14ac:dyDescent="0.2">
      <c r="R137" s="204"/>
    </row>
    <row r="138" spans="18:18" s="10" customFormat="1" x14ac:dyDescent="0.2">
      <c r="R138" s="204"/>
    </row>
    <row r="139" spans="18:18" s="10" customFormat="1" x14ac:dyDescent="0.2">
      <c r="R139" s="204"/>
    </row>
    <row r="140" spans="18:18" s="10" customFormat="1" x14ac:dyDescent="0.2">
      <c r="R140" s="204"/>
    </row>
    <row r="141" spans="18:18" s="10" customFormat="1" x14ac:dyDescent="0.2">
      <c r="R141" s="204"/>
    </row>
    <row r="142" spans="18:18" s="10" customFormat="1" x14ac:dyDescent="0.2">
      <c r="R142" s="204"/>
    </row>
    <row r="143" spans="18:18" s="10" customFormat="1" x14ac:dyDescent="0.2">
      <c r="R143" s="204"/>
    </row>
    <row r="144" spans="18:18" s="10" customFormat="1" x14ac:dyDescent="0.2">
      <c r="R144" s="204"/>
    </row>
    <row r="145" spans="18:18" s="10" customFormat="1" x14ac:dyDescent="0.2">
      <c r="R145" s="204"/>
    </row>
    <row r="146" spans="18:18" s="10" customFormat="1" x14ac:dyDescent="0.2">
      <c r="R146" s="204"/>
    </row>
    <row r="147" spans="18:18" s="10" customFormat="1" x14ac:dyDescent="0.2">
      <c r="R147" s="204"/>
    </row>
    <row r="148" spans="18:18" s="10" customFormat="1" x14ac:dyDescent="0.2">
      <c r="R148" s="204"/>
    </row>
    <row r="149" spans="18:18" s="10" customFormat="1" x14ac:dyDescent="0.2">
      <c r="R149" s="204"/>
    </row>
    <row r="150" spans="18:18" s="10" customFormat="1" x14ac:dyDescent="0.2">
      <c r="R150" s="204"/>
    </row>
    <row r="151" spans="18:18" s="10" customFormat="1" x14ac:dyDescent="0.2">
      <c r="R151" s="204"/>
    </row>
    <row r="152" spans="18:18" s="10" customFormat="1" x14ac:dyDescent="0.2">
      <c r="R152" s="204"/>
    </row>
    <row r="153" spans="18:18" s="10" customFormat="1" x14ac:dyDescent="0.2">
      <c r="R153" s="204"/>
    </row>
    <row r="154" spans="18:18" s="10" customFormat="1" x14ac:dyDescent="0.2">
      <c r="R154" s="204"/>
    </row>
    <row r="155" spans="18:18" s="10" customFormat="1" x14ac:dyDescent="0.2">
      <c r="R155" s="204"/>
    </row>
    <row r="156" spans="18:18" s="10" customFormat="1" x14ac:dyDescent="0.2">
      <c r="R156" s="204"/>
    </row>
    <row r="157" spans="18:18" s="10" customFormat="1" x14ac:dyDescent="0.2">
      <c r="R157" s="204"/>
    </row>
    <row r="158" spans="18:18" s="10" customFormat="1" x14ac:dyDescent="0.2">
      <c r="R158" s="204"/>
    </row>
    <row r="159" spans="18:18" s="10" customFormat="1" x14ac:dyDescent="0.2">
      <c r="R159" s="204"/>
    </row>
    <row r="160" spans="18:18" s="10" customFormat="1" x14ac:dyDescent="0.2">
      <c r="R160" s="204"/>
    </row>
    <row r="161" spans="18:18" s="10" customFormat="1" x14ac:dyDescent="0.2">
      <c r="R161" s="204"/>
    </row>
    <row r="162" spans="18:18" s="10" customFormat="1" x14ac:dyDescent="0.2">
      <c r="R162" s="204"/>
    </row>
    <row r="163" spans="18:18" s="10" customFormat="1" x14ac:dyDescent="0.2">
      <c r="R163" s="204"/>
    </row>
    <row r="164" spans="18:18" s="10" customFormat="1" x14ac:dyDescent="0.2">
      <c r="R164" s="204"/>
    </row>
    <row r="165" spans="18:18" s="10" customFormat="1" x14ac:dyDescent="0.2">
      <c r="R165" s="204"/>
    </row>
    <row r="166" spans="18:18" s="10" customFormat="1" x14ac:dyDescent="0.2">
      <c r="R166" s="204"/>
    </row>
    <row r="167" spans="18:18" s="10" customFormat="1" x14ac:dyDescent="0.2">
      <c r="R167" s="204"/>
    </row>
    <row r="168" spans="18:18" s="10" customFormat="1" x14ac:dyDescent="0.2">
      <c r="R168" s="204"/>
    </row>
    <row r="169" spans="18:18" s="10" customFormat="1" x14ac:dyDescent="0.2">
      <c r="R169" s="204"/>
    </row>
    <row r="170" spans="18:18" s="10" customFormat="1" x14ac:dyDescent="0.2">
      <c r="R170" s="204"/>
    </row>
    <row r="171" spans="18:18" s="10" customFormat="1" x14ac:dyDescent="0.2">
      <c r="R171" s="204"/>
    </row>
    <row r="172" spans="18:18" s="10" customFormat="1" x14ac:dyDescent="0.2">
      <c r="R172" s="204"/>
    </row>
    <row r="173" spans="18:18" s="10" customFormat="1" x14ac:dyDescent="0.2">
      <c r="R173" s="204"/>
    </row>
    <row r="174" spans="18:18" s="10" customFormat="1" x14ac:dyDescent="0.2">
      <c r="R174" s="204"/>
    </row>
    <row r="175" spans="18:18" s="10" customFormat="1" x14ac:dyDescent="0.2">
      <c r="R175" s="204"/>
    </row>
    <row r="176" spans="18:18" s="10" customFormat="1" x14ac:dyDescent="0.2">
      <c r="R176" s="204"/>
    </row>
    <row r="177" spans="18:18" s="10" customFormat="1" x14ac:dyDescent="0.2">
      <c r="R177" s="204"/>
    </row>
    <row r="178" spans="18:18" s="10" customFormat="1" x14ac:dyDescent="0.2">
      <c r="R178" s="204"/>
    </row>
    <row r="179" spans="18:18" s="10" customFormat="1" x14ac:dyDescent="0.2">
      <c r="R179" s="204"/>
    </row>
    <row r="180" spans="18:18" s="10" customFormat="1" x14ac:dyDescent="0.2">
      <c r="R180" s="204"/>
    </row>
    <row r="181" spans="18:18" s="10" customFormat="1" x14ac:dyDescent="0.2">
      <c r="R181" s="204"/>
    </row>
    <row r="182" spans="18:18" s="10" customFormat="1" x14ac:dyDescent="0.2">
      <c r="R182" s="204"/>
    </row>
    <row r="183" spans="18:18" s="10" customFormat="1" x14ac:dyDescent="0.2">
      <c r="R183" s="204"/>
    </row>
    <row r="184" spans="18:18" s="10" customFormat="1" x14ac:dyDescent="0.2">
      <c r="R184" s="204"/>
    </row>
    <row r="185" spans="18:18" s="10" customFormat="1" x14ac:dyDescent="0.2">
      <c r="R185" s="204"/>
    </row>
    <row r="186" spans="18:18" s="10" customFormat="1" x14ac:dyDescent="0.2">
      <c r="R186" s="204"/>
    </row>
    <row r="187" spans="18:18" s="10" customFormat="1" x14ac:dyDescent="0.2">
      <c r="R187" s="204"/>
    </row>
    <row r="188" spans="18:18" s="10" customFormat="1" x14ac:dyDescent="0.2">
      <c r="R188" s="204"/>
    </row>
    <row r="189" spans="18:18" s="10" customFormat="1" x14ac:dyDescent="0.2">
      <c r="R189" s="204"/>
    </row>
    <row r="190" spans="18:18" s="10" customFormat="1" x14ac:dyDescent="0.2">
      <c r="R190" s="204"/>
    </row>
    <row r="191" spans="18:18" s="10" customFormat="1" x14ac:dyDescent="0.2">
      <c r="R191" s="204"/>
    </row>
    <row r="192" spans="18:18" s="10" customFormat="1" x14ac:dyDescent="0.2">
      <c r="R192" s="204"/>
    </row>
    <row r="193" spans="18:18" s="10" customFormat="1" x14ac:dyDescent="0.2">
      <c r="R193" s="204"/>
    </row>
    <row r="194" spans="18:18" s="10" customFormat="1" x14ac:dyDescent="0.2">
      <c r="R194" s="204"/>
    </row>
    <row r="195" spans="18:18" s="10" customFormat="1" x14ac:dyDescent="0.2">
      <c r="R195" s="204"/>
    </row>
    <row r="196" spans="18:18" s="10" customFormat="1" x14ac:dyDescent="0.2">
      <c r="R196" s="204"/>
    </row>
    <row r="197" spans="18:18" s="10" customFormat="1" x14ac:dyDescent="0.2">
      <c r="R197" s="204"/>
    </row>
    <row r="198" spans="18:18" s="10" customFormat="1" x14ac:dyDescent="0.2">
      <c r="R198" s="204"/>
    </row>
    <row r="199" spans="18:18" s="10" customFormat="1" x14ac:dyDescent="0.2">
      <c r="R199" s="204"/>
    </row>
    <row r="200" spans="18:18" s="10" customFormat="1" x14ac:dyDescent="0.2">
      <c r="R200" s="204"/>
    </row>
    <row r="201" spans="18:18" s="10" customFormat="1" x14ac:dyDescent="0.2">
      <c r="R201" s="204"/>
    </row>
    <row r="202" spans="18:18" s="10" customFormat="1" x14ac:dyDescent="0.2">
      <c r="R202" s="204"/>
    </row>
    <row r="203" spans="18:18" s="10" customFormat="1" x14ac:dyDescent="0.2">
      <c r="R203" s="204"/>
    </row>
    <row r="204" spans="18:18" s="10" customFormat="1" x14ac:dyDescent="0.2">
      <c r="R204" s="204"/>
    </row>
    <row r="205" spans="18:18" s="10" customFormat="1" x14ac:dyDescent="0.2">
      <c r="R205" s="204"/>
    </row>
    <row r="206" spans="18:18" s="10" customFormat="1" x14ac:dyDescent="0.2">
      <c r="R206" s="204"/>
    </row>
    <row r="207" spans="18:18" s="10" customFormat="1" x14ac:dyDescent="0.2">
      <c r="R207" s="204"/>
    </row>
    <row r="208" spans="18:18" s="10" customFormat="1" x14ac:dyDescent="0.2">
      <c r="R208" s="204"/>
    </row>
    <row r="209" spans="18:18" s="10" customFormat="1" x14ac:dyDescent="0.2">
      <c r="R209" s="204"/>
    </row>
    <row r="210" spans="18:18" s="10" customFormat="1" x14ac:dyDescent="0.2">
      <c r="R210" s="204"/>
    </row>
    <row r="211" spans="18:18" s="10" customFormat="1" x14ac:dyDescent="0.2">
      <c r="R211" s="204"/>
    </row>
    <row r="212" spans="18:18" s="10" customFormat="1" x14ac:dyDescent="0.2">
      <c r="R212" s="204"/>
    </row>
    <row r="213" spans="18:18" s="10" customFormat="1" x14ac:dyDescent="0.2">
      <c r="R213" s="204"/>
    </row>
    <row r="214" spans="18:18" s="10" customFormat="1" x14ac:dyDescent="0.2">
      <c r="R214" s="204"/>
    </row>
    <row r="215" spans="18:18" s="10" customFormat="1" x14ac:dyDescent="0.2">
      <c r="R215" s="204"/>
    </row>
    <row r="216" spans="18:18" s="10" customFormat="1" x14ac:dyDescent="0.2">
      <c r="R216" s="204"/>
    </row>
    <row r="217" spans="18:18" s="10" customFormat="1" x14ac:dyDescent="0.2">
      <c r="R217" s="204"/>
    </row>
    <row r="218" spans="18:18" s="10" customFormat="1" x14ac:dyDescent="0.2">
      <c r="R218" s="204"/>
    </row>
    <row r="219" spans="18:18" s="10" customFormat="1" x14ac:dyDescent="0.2">
      <c r="R219" s="204"/>
    </row>
    <row r="220" spans="18:18" s="10" customFormat="1" x14ac:dyDescent="0.2">
      <c r="R220" s="204"/>
    </row>
    <row r="221" spans="18:18" s="10" customFormat="1" x14ac:dyDescent="0.2">
      <c r="R221" s="204"/>
    </row>
    <row r="222" spans="18:18" s="10" customFormat="1" x14ac:dyDescent="0.2">
      <c r="R222" s="204"/>
    </row>
    <row r="223" spans="18:18" s="10" customFormat="1" x14ac:dyDescent="0.2">
      <c r="R223" s="204"/>
    </row>
    <row r="224" spans="18:18" s="10" customFormat="1" x14ac:dyDescent="0.2">
      <c r="R224" s="204"/>
    </row>
    <row r="225" spans="18:18" s="10" customFormat="1" x14ac:dyDescent="0.2">
      <c r="R225" s="204"/>
    </row>
    <row r="226" spans="18:18" s="10" customFormat="1" x14ac:dyDescent="0.2">
      <c r="R226" s="204"/>
    </row>
    <row r="227" spans="18:18" s="10" customFormat="1" x14ac:dyDescent="0.2">
      <c r="R227" s="204"/>
    </row>
    <row r="228" spans="18:18" s="10" customFormat="1" x14ac:dyDescent="0.2">
      <c r="R228" s="204"/>
    </row>
    <row r="229" spans="18:18" s="10" customFormat="1" x14ac:dyDescent="0.2">
      <c r="R229" s="204"/>
    </row>
    <row r="230" spans="18:18" s="10" customFormat="1" x14ac:dyDescent="0.2">
      <c r="R230" s="204"/>
    </row>
    <row r="231" spans="18:18" s="10" customFormat="1" x14ac:dyDescent="0.2">
      <c r="R231" s="204"/>
    </row>
    <row r="232" spans="18:18" s="10" customFormat="1" x14ac:dyDescent="0.2">
      <c r="R232" s="204"/>
    </row>
    <row r="233" spans="18:18" s="10" customFormat="1" x14ac:dyDescent="0.2">
      <c r="R233" s="204"/>
    </row>
    <row r="234" spans="18:18" s="10" customFormat="1" x14ac:dyDescent="0.2">
      <c r="R234" s="204"/>
    </row>
    <row r="235" spans="18:18" s="10" customFormat="1" x14ac:dyDescent="0.2">
      <c r="R235" s="204"/>
    </row>
    <row r="236" spans="18:18" s="10" customFormat="1" x14ac:dyDescent="0.2">
      <c r="R236" s="204"/>
    </row>
    <row r="237" spans="18:18" s="10" customFormat="1" x14ac:dyDescent="0.2">
      <c r="R237" s="204"/>
    </row>
    <row r="238" spans="18:18" s="10" customFormat="1" x14ac:dyDescent="0.2">
      <c r="R238" s="204"/>
    </row>
    <row r="239" spans="18:18" s="10" customFormat="1" x14ac:dyDescent="0.2">
      <c r="R239" s="204"/>
    </row>
    <row r="240" spans="18:18" s="10" customFormat="1" x14ac:dyDescent="0.2">
      <c r="R240" s="204"/>
    </row>
    <row r="241" spans="18:18" s="10" customFormat="1" x14ac:dyDescent="0.2">
      <c r="R241" s="204"/>
    </row>
    <row r="242" spans="18:18" s="10" customFormat="1" x14ac:dyDescent="0.2">
      <c r="R242" s="204"/>
    </row>
    <row r="243" spans="18:18" s="10" customFormat="1" x14ac:dyDescent="0.2">
      <c r="R243" s="204"/>
    </row>
    <row r="244" spans="18:18" s="10" customFormat="1" x14ac:dyDescent="0.2">
      <c r="R244" s="204"/>
    </row>
    <row r="245" spans="18:18" s="10" customFormat="1" x14ac:dyDescent="0.2">
      <c r="R245" s="204"/>
    </row>
    <row r="246" spans="18:18" s="10" customFormat="1" x14ac:dyDescent="0.2">
      <c r="R246" s="204"/>
    </row>
    <row r="247" spans="18:18" s="10" customFormat="1" x14ac:dyDescent="0.2">
      <c r="R247" s="204"/>
    </row>
    <row r="248" spans="18:18" s="10" customFormat="1" x14ac:dyDescent="0.2">
      <c r="R248" s="204"/>
    </row>
    <row r="249" spans="18:18" s="10" customFormat="1" x14ac:dyDescent="0.2">
      <c r="R249" s="204"/>
    </row>
    <row r="250" spans="18:18" s="10" customFormat="1" x14ac:dyDescent="0.2">
      <c r="R250" s="204"/>
    </row>
    <row r="251" spans="18:18" s="10" customFormat="1" x14ac:dyDescent="0.2">
      <c r="R251" s="204"/>
    </row>
    <row r="252" spans="18:18" s="10" customFormat="1" x14ac:dyDescent="0.2">
      <c r="R252" s="204"/>
    </row>
    <row r="253" spans="18:18" s="10" customFormat="1" x14ac:dyDescent="0.2">
      <c r="R253" s="204"/>
    </row>
    <row r="254" spans="18:18" s="10" customFormat="1" x14ac:dyDescent="0.2">
      <c r="R254" s="204"/>
    </row>
    <row r="255" spans="18:18" s="10" customFormat="1" x14ac:dyDescent="0.2">
      <c r="R255" s="204"/>
    </row>
    <row r="256" spans="18:18" s="10" customFormat="1" x14ac:dyDescent="0.2">
      <c r="R256" s="204"/>
    </row>
    <row r="257" spans="18:18" s="10" customFormat="1" x14ac:dyDescent="0.2">
      <c r="R257" s="204"/>
    </row>
    <row r="258" spans="18:18" s="10" customFormat="1" x14ac:dyDescent="0.2">
      <c r="R258" s="204"/>
    </row>
    <row r="259" spans="18:18" s="10" customFormat="1" x14ac:dyDescent="0.2">
      <c r="R259" s="204"/>
    </row>
    <row r="260" spans="18:18" s="10" customFormat="1" x14ac:dyDescent="0.2">
      <c r="R260" s="204"/>
    </row>
    <row r="261" spans="18:18" s="10" customFormat="1" x14ac:dyDescent="0.2">
      <c r="R261" s="204"/>
    </row>
    <row r="262" spans="18:18" s="10" customFormat="1" x14ac:dyDescent="0.2">
      <c r="R262" s="204"/>
    </row>
    <row r="263" spans="18:18" s="10" customFormat="1" x14ac:dyDescent="0.2">
      <c r="R263" s="204"/>
    </row>
    <row r="264" spans="18:18" s="10" customFormat="1" x14ac:dyDescent="0.2">
      <c r="R264" s="204"/>
    </row>
    <row r="265" spans="18:18" s="10" customFormat="1" x14ac:dyDescent="0.2">
      <c r="R265" s="204"/>
    </row>
    <row r="266" spans="18:18" s="10" customFormat="1" x14ac:dyDescent="0.2">
      <c r="R266" s="204"/>
    </row>
    <row r="267" spans="18:18" s="10" customFormat="1" x14ac:dyDescent="0.2">
      <c r="R267" s="204"/>
    </row>
    <row r="268" spans="18:18" s="10" customFormat="1" x14ac:dyDescent="0.2">
      <c r="R268" s="204"/>
    </row>
    <row r="269" spans="18:18" s="10" customFormat="1" x14ac:dyDescent="0.2">
      <c r="R269" s="204"/>
    </row>
    <row r="270" spans="18:18" s="10" customFormat="1" x14ac:dyDescent="0.2">
      <c r="R270" s="204"/>
    </row>
    <row r="271" spans="18:18" s="10" customFormat="1" x14ac:dyDescent="0.2">
      <c r="R271" s="204"/>
    </row>
    <row r="272" spans="18:18" s="10" customFormat="1" x14ac:dyDescent="0.2">
      <c r="R272" s="204"/>
    </row>
    <row r="273" spans="18:18" s="10" customFormat="1" x14ac:dyDescent="0.2">
      <c r="R273" s="204"/>
    </row>
    <row r="274" spans="18:18" s="10" customFormat="1" x14ac:dyDescent="0.2">
      <c r="R274" s="204"/>
    </row>
    <row r="275" spans="18:18" s="10" customFormat="1" x14ac:dyDescent="0.2">
      <c r="R275" s="204"/>
    </row>
    <row r="276" spans="18:18" s="10" customFormat="1" x14ac:dyDescent="0.2">
      <c r="R276" s="204"/>
    </row>
    <row r="277" spans="18:18" s="10" customFormat="1" x14ac:dyDescent="0.2">
      <c r="R277" s="204"/>
    </row>
    <row r="278" spans="18:18" s="10" customFormat="1" x14ac:dyDescent="0.2">
      <c r="R278" s="204"/>
    </row>
    <row r="279" spans="18:18" s="10" customFormat="1" x14ac:dyDescent="0.2">
      <c r="R279" s="204"/>
    </row>
    <row r="280" spans="18:18" s="10" customFormat="1" x14ac:dyDescent="0.2">
      <c r="R280" s="204"/>
    </row>
    <row r="281" spans="18:18" s="10" customFormat="1" x14ac:dyDescent="0.2">
      <c r="R281" s="204"/>
    </row>
    <row r="282" spans="18:18" s="10" customFormat="1" x14ac:dyDescent="0.2">
      <c r="R282" s="204"/>
    </row>
    <row r="283" spans="18:18" s="10" customFormat="1" x14ac:dyDescent="0.2">
      <c r="R283" s="204"/>
    </row>
    <row r="284" spans="18:18" s="10" customFormat="1" x14ac:dyDescent="0.2">
      <c r="R284" s="204"/>
    </row>
    <row r="285" spans="18:18" s="10" customFormat="1" x14ac:dyDescent="0.2">
      <c r="R285" s="204"/>
    </row>
    <row r="286" spans="18:18" s="10" customFormat="1" x14ac:dyDescent="0.2">
      <c r="R286" s="204"/>
    </row>
    <row r="287" spans="18:18" s="10" customFormat="1" x14ac:dyDescent="0.2">
      <c r="R287" s="204"/>
    </row>
    <row r="288" spans="18:18" s="10" customFormat="1" x14ac:dyDescent="0.2">
      <c r="R288" s="204"/>
    </row>
    <row r="289" spans="18:18" s="10" customFormat="1" x14ac:dyDescent="0.2">
      <c r="R289" s="204"/>
    </row>
    <row r="290" spans="18:18" s="10" customFormat="1" x14ac:dyDescent="0.2">
      <c r="R290" s="204"/>
    </row>
    <row r="291" spans="18:18" s="10" customFormat="1" x14ac:dyDescent="0.2">
      <c r="R291" s="204"/>
    </row>
    <row r="292" spans="18:18" s="10" customFormat="1" x14ac:dyDescent="0.2">
      <c r="R292" s="204"/>
    </row>
    <row r="293" spans="18:18" s="10" customFormat="1" x14ac:dyDescent="0.2">
      <c r="R293" s="204"/>
    </row>
    <row r="294" spans="18:18" s="10" customFormat="1" x14ac:dyDescent="0.2">
      <c r="R294" s="204"/>
    </row>
    <row r="295" spans="18:18" s="10" customFormat="1" x14ac:dyDescent="0.2">
      <c r="R295" s="204"/>
    </row>
    <row r="296" spans="18:18" s="10" customFormat="1" x14ac:dyDescent="0.2">
      <c r="R296" s="204"/>
    </row>
    <row r="297" spans="18:18" s="10" customFormat="1" x14ac:dyDescent="0.2">
      <c r="R297" s="204"/>
    </row>
    <row r="298" spans="18:18" s="10" customFormat="1" x14ac:dyDescent="0.2">
      <c r="R298" s="204"/>
    </row>
    <row r="299" spans="18:18" s="10" customFormat="1" x14ac:dyDescent="0.2">
      <c r="R299" s="204"/>
    </row>
    <row r="300" spans="18:18" s="10" customFormat="1" x14ac:dyDescent="0.2">
      <c r="R300" s="204"/>
    </row>
    <row r="301" spans="18:18" s="10" customFormat="1" x14ac:dyDescent="0.2">
      <c r="R301" s="204"/>
    </row>
    <row r="302" spans="18:18" s="10" customFormat="1" x14ac:dyDescent="0.2">
      <c r="R302" s="204"/>
    </row>
    <row r="303" spans="18:18" s="10" customFormat="1" x14ac:dyDescent="0.2">
      <c r="R303" s="204"/>
    </row>
    <row r="304" spans="18:18" s="10" customFormat="1" x14ac:dyDescent="0.2">
      <c r="R304" s="204"/>
    </row>
    <row r="305" spans="18:18" s="10" customFormat="1" x14ac:dyDescent="0.2">
      <c r="R305" s="204"/>
    </row>
    <row r="306" spans="18:18" s="10" customFormat="1" x14ac:dyDescent="0.2">
      <c r="R306" s="204"/>
    </row>
    <row r="307" spans="18:18" s="10" customFormat="1" x14ac:dyDescent="0.2">
      <c r="R307" s="204"/>
    </row>
    <row r="308" spans="18:18" s="10" customFormat="1" x14ac:dyDescent="0.2">
      <c r="R308" s="204"/>
    </row>
    <row r="309" spans="18:18" s="10" customFormat="1" x14ac:dyDescent="0.2">
      <c r="R309" s="204"/>
    </row>
    <row r="310" spans="18:18" s="10" customFormat="1" x14ac:dyDescent="0.2">
      <c r="R310" s="204"/>
    </row>
    <row r="311" spans="18:18" s="10" customFormat="1" x14ac:dyDescent="0.2">
      <c r="R311" s="204"/>
    </row>
    <row r="312" spans="18:18" s="10" customFormat="1" x14ac:dyDescent="0.2">
      <c r="R312" s="204"/>
    </row>
    <row r="313" spans="18:18" s="10" customFormat="1" x14ac:dyDescent="0.2">
      <c r="R313" s="204"/>
    </row>
    <row r="314" spans="18:18" s="10" customFormat="1" x14ac:dyDescent="0.2">
      <c r="R314" s="204"/>
    </row>
    <row r="315" spans="18:18" s="10" customFormat="1" x14ac:dyDescent="0.2">
      <c r="R315" s="204"/>
    </row>
    <row r="316" spans="18:18" s="10" customFormat="1" x14ac:dyDescent="0.2">
      <c r="R316" s="204"/>
    </row>
    <row r="317" spans="18:18" s="10" customFormat="1" x14ac:dyDescent="0.2">
      <c r="R317" s="204"/>
    </row>
    <row r="318" spans="18:18" s="10" customFormat="1" x14ac:dyDescent="0.2">
      <c r="R318" s="204"/>
    </row>
    <row r="319" spans="18:18" s="10" customFormat="1" x14ac:dyDescent="0.2">
      <c r="R319" s="204"/>
    </row>
    <row r="320" spans="18:18" s="10" customFormat="1" x14ac:dyDescent="0.2">
      <c r="R320" s="204"/>
    </row>
    <row r="321" spans="18:18" s="10" customFormat="1" x14ac:dyDescent="0.2">
      <c r="R321" s="204"/>
    </row>
    <row r="322" spans="18:18" s="10" customFormat="1" x14ac:dyDescent="0.2">
      <c r="R322" s="204"/>
    </row>
    <row r="323" spans="18:18" s="10" customFormat="1" x14ac:dyDescent="0.2">
      <c r="R323" s="204"/>
    </row>
    <row r="324" spans="18:18" s="10" customFormat="1" x14ac:dyDescent="0.2">
      <c r="R324" s="204"/>
    </row>
    <row r="325" spans="18:18" s="10" customFormat="1" x14ac:dyDescent="0.2">
      <c r="R325" s="204"/>
    </row>
    <row r="326" spans="18:18" s="10" customFormat="1" x14ac:dyDescent="0.2">
      <c r="R326" s="204"/>
    </row>
    <row r="327" spans="18:18" s="10" customFormat="1" x14ac:dyDescent="0.2">
      <c r="R327" s="204"/>
    </row>
    <row r="328" spans="18:18" s="10" customFormat="1" x14ac:dyDescent="0.2">
      <c r="R328" s="204"/>
    </row>
    <row r="329" spans="18:18" s="10" customFormat="1" x14ac:dyDescent="0.2">
      <c r="R329" s="204"/>
    </row>
    <row r="330" spans="18:18" s="10" customFormat="1" x14ac:dyDescent="0.2">
      <c r="R330" s="204"/>
    </row>
    <row r="331" spans="18:18" s="10" customFormat="1" x14ac:dyDescent="0.2">
      <c r="R331" s="204"/>
    </row>
    <row r="332" spans="18:18" s="10" customFormat="1" x14ac:dyDescent="0.2">
      <c r="R332" s="204"/>
    </row>
    <row r="333" spans="18:18" s="10" customFormat="1" x14ac:dyDescent="0.2">
      <c r="R333" s="204"/>
    </row>
    <row r="334" spans="18:18" s="10" customFormat="1" x14ac:dyDescent="0.2">
      <c r="R334" s="204"/>
    </row>
    <row r="335" spans="18:18" s="10" customFormat="1" x14ac:dyDescent="0.2">
      <c r="R335" s="204"/>
    </row>
    <row r="336" spans="18:18" s="10" customFormat="1" x14ac:dyDescent="0.2">
      <c r="R336" s="204"/>
    </row>
    <row r="337" spans="18:18" s="10" customFormat="1" x14ac:dyDescent="0.2">
      <c r="R337" s="204"/>
    </row>
    <row r="338" spans="18:18" s="10" customFormat="1" x14ac:dyDescent="0.2">
      <c r="R338" s="204"/>
    </row>
    <row r="339" spans="18:18" s="10" customFormat="1" x14ac:dyDescent="0.2">
      <c r="R339" s="204"/>
    </row>
    <row r="340" spans="18:18" s="10" customFormat="1" x14ac:dyDescent="0.2">
      <c r="R340" s="204"/>
    </row>
    <row r="341" spans="18:18" s="10" customFormat="1" x14ac:dyDescent="0.2">
      <c r="R341" s="204"/>
    </row>
    <row r="342" spans="18:18" s="10" customFormat="1" x14ac:dyDescent="0.2">
      <c r="R342" s="204"/>
    </row>
    <row r="343" spans="18:18" s="10" customFormat="1" x14ac:dyDescent="0.2"/>
    <row r="344" spans="18:18" s="10" customFormat="1" x14ac:dyDescent="0.2"/>
    <row r="345" spans="18:18" s="10" customFormat="1" x14ac:dyDescent="0.2"/>
    <row r="346" spans="18:18" s="10" customFormat="1" x14ac:dyDescent="0.2"/>
  </sheetData>
  <autoFilter ref="A17:S98" xr:uid="{00000000-0009-0000-0000-000001000000}"/>
  <conditionalFormatting sqref="AJ18:AX84">
    <cfRule type="colorScale" priority="2">
      <colorScale>
        <cfvo type="num" val="-5"/>
        <cfvo type="num" val="0"/>
        <cfvo type="num" val="5"/>
        <color rgb="FFF8696B"/>
        <color rgb="FF00B050"/>
        <color rgb="FFFFFF00"/>
      </colorScale>
    </cfRule>
  </conditionalFormatting>
  <conditionalFormatting sqref="C10">
    <cfRule type="cellIs" dxfId="0" priority="1" operator="lessThan">
      <formula>$B$10</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1:C57"/>
  <sheetViews>
    <sheetView workbookViewId="0">
      <selection activeCell="B13" sqref="B13"/>
    </sheetView>
  </sheetViews>
  <sheetFormatPr defaultRowHeight="20.25" x14ac:dyDescent="0.3"/>
  <cols>
    <col min="1" max="1" width="8.85546875" style="24"/>
    <col min="2" max="2" width="85.85546875" style="25" customWidth="1"/>
  </cols>
  <sheetData>
    <row r="11" spans="1:3" x14ac:dyDescent="0.3">
      <c r="B11" s="24" t="s">
        <v>20</v>
      </c>
    </row>
    <row r="12" spans="1:3" x14ac:dyDescent="0.3">
      <c r="A12" s="24">
        <v>1</v>
      </c>
      <c r="B12" s="26" t="s">
        <v>21</v>
      </c>
      <c r="C12" s="24"/>
    </row>
    <row r="13" spans="1:3" x14ac:dyDescent="0.3">
      <c r="A13" s="24">
        <v>2</v>
      </c>
      <c r="B13" s="26" t="s">
        <v>22</v>
      </c>
      <c r="C13" s="24"/>
    </row>
    <row r="14" spans="1:3" x14ac:dyDescent="0.3">
      <c r="B14" s="26"/>
      <c r="C14" s="24"/>
    </row>
    <row r="15" spans="1:3" x14ac:dyDescent="0.3">
      <c r="B15" s="26"/>
      <c r="C15" s="24"/>
    </row>
    <row r="16" spans="1:3" x14ac:dyDescent="0.3">
      <c r="B16" s="26"/>
      <c r="C16" s="24"/>
    </row>
    <row r="17" spans="1:3" x14ac:dyDescent="0.3">
      <c r="B17" s="26"/>
      <c r="C17" s="24"/>
    </row>
    <row r="18" spans="1:3" x14ac:dyDescent="0.3">
      <c r="B18" s="26"/>
      <c r="C18" s="24"/>
    </row>
    <row r="19" spans="1:3" x14ac:dyDescent="0.3">
      <c r="B19" s="26"/>
      <c r="C19" s="24"/>
    </row>
    <row r="20" spans="1:3" x14ac:dyDescent="0.3">
      <c r="B20" s="26"/>
      <c r="C20" s="24"/>
    </row>
    <row r="21" spans="1:3" ht="40.5" x14ac:dyDescent="0.3">
      <c r="A21" s="24">
        <v>3</v>
      </c>
      <c r="B21" s="26" t="s">
        <v>86</v>
      </c>
      <c r="C21" s="24"/>
    </row>
    <row r="22" spans="1:3" x14ac:dyDescent="0.3">
      <c r="B22" s="26"/>
    </row>
    <row r="23" spans="1:3" x14ac:dyDescent="0.3">
      <c r="B23" s="26"/>
      <c r="C23" s="24"/>
    </row>
    <row r="24" spans="1:3" x14ac:dyDescent="0.3">
      <c r="B24" s="26"/>
      <c r="C24" s="24"/>
    </row>
    <row r="25" spans="1:3" x14ac:dyDescent="0.3">
      <c r="B25" s="26"/>
      <c r="C25" s="24"/>
    </row>
    <row r="26" spans="1:3" x14ac:dyDescent="0.3">
      <c r="B26" s="26"/>
      <c r="C26" s="24"/>
    </row>
    <row r="27" spans="1:3" x14ac:dyDescent="0.3">
      <c r="B27" s="26"/>
      <c r="C27" s="24"/>
    </row>
    <row r="28" spans="1:3" x14ac:dyDescent="0.3">
      <c r="B28" s="26"/>
      <c r="C28" s="24"/>
    </row>
    <row r="29" spans="1:3" x14ac:dyDescent="0.3">
      <c r="B29" s="26"/>
      <c r="C29" s="24"/>
    </row>
    <row r="30" spans="1:3" x14ac:dyDescent="0.3">
      <c r="B30" s="26"/>
      <c r="C30" s="24"/>
    </row>
    <row r="31" spans="1:3" x14ac:dyDescent="0.3">
      <c r="B31" s="26"/>
      <c r="C31" s="24"/>
    </row>
    <row r="32" spans="1:3" x14ac:dyDescent="0.3">
      <c r="B32" s="26"/>
    </row>
    <row r="33" spans="2:3" x14ac:dyDescent="0.3">
      <c r="B33" s="26"/>
      <c r="C33" s="24"/>
    </row>
    <row r="34" spans="2:3" x14ac:dyDescent="0.3">
      <c r="B34" s="26"/>
      <c r="C34" s="24"/>
    </row>
    <row r="35" spans="2:3" x14ac:dyDescent="0.3">
      <c r="B35" s="26"/>
      <c r="C35" s="24"/>
    </row>
    <row r="36" spans="2:3" x14ac:dyDescent="0.3">
      <c r="B36" s="26"/>
      <c r="C36" s="24"/>
    </row>
    <row r="37" spans="2:3" ht="40.5" x14ac:dyDescent="0.3">
      <c r="B37" s="26" t="s">
        <v>87</v>
      </c>
      <c r="C37" s="24"/>
    </row>
    <row r="38" spans="2:3" x14ac:dyDescent="0.3">
      <c r="B38" s="26"/>
      <c r="C38" s="24"/>
    </row>
    <row r="39" spans="2:3" x14ac:dyDescent="0.3">
      <c r="C39" s="24"/>
    </row>
    <row r="40" spans="2:3" x14ac:dyDescent="0.3">
      <c r="C40" s="24"/>
    </row>
    <row r="41" spans="2:3" x14ac:dyDescent="0.3">
      <c r="C41" s="24"/>
    </row>
    <row r="49" spans="2:2" x14ac:dyDescent="0.3">
      <c r="B49" s="26" t="s">
        <v>43</v>
      </c>
    </row>
    <row r="50" spans="2:2" x14ac:dyDescent="0.3">
      <c r="B50" s="26"/>
    </row>
    <row r="53" spans="2:2" x14ac:dyDescent="0.3">
      <c r="B53" s="26" t="s">
        <v>92</v>
      </c>
    </row>
    <row r="54" spans="2:2" x14ac:dyDescent="0.3">
      <c r="B54" s="26" t="s">
        <v>88</v>
      </c>
    </row>
    <row r="55" spans="2:2" x14ac:dyDescent="0.3">
      <c r="B55" s="26" t="s">
        <v>89</v>
      </c>
    </row>
    <row r="56" spans="2:2" x14ac:dyDescent="0.3">
      <c r="B56" s="26" t="s">
        <v>90</v>
      </c>
    </row>
    <row r="57" spans="2:2" x14ac:dyDescent="0.3">
      <c r="B57" s="26" t="s">
        <v>91</v>
      </c>
    </row>
  </sheetData>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E92"/>
  <sheetViews>
    <sheetView topLeftCell="A4" workbookViewId="0">
      <selection activeCell="N25" sqref="N25"/>
    </sheetView>
  </sheetViews>
  <sheetFormatPr defaultRowHeight="12.75" x14ac:dyDescent="0.2"/>
  <cols>
    <col min="3" max="3" width="12.28515625" customWidth="1"/>
    <col min="5" max="5" width="17.5703125" customWidth="1"/>
    <col min="6" max="6" width="10.28515625" customWidth="1"/>
    <col min="7" max="7" width="12.28515625" bestFit="1" customWidth="1"/>
    <col min="8" max="13" width="9.140625" bestFit="1" customWidth="1"/>
    <col min="15" max="15" width="11.7109375" customWidth="1"/>
    <col min="16" max="16" width="12.140625" bestFit="1" customWidth="1"/>
    <col min="17" max="17" width="12.28515625" bestFit="1" customWidth="1"/>
    <col min="21" max="21" width="10.7109375" customWidth="1"/>
    <col min="22" max="22" width="11.7109375" customWidth="1"/>
  </cols>
  <sheetData>
    <row r="1" spans="1:31" x14ac:dyDescent="0.2">
      <c r="A1">
        <v>1</v>
      </c>
      <c r="B1">
        <v>2</v>
      </c>
      <c r="C1">
        <v>3</v>
      </c>
      <c r="D1">
        <v>4</v>
      </c>
      <c r="E1">
        <v>5</v>
      </c>
      <c r="F1">
        <v>6</v>
      </c>
      <c r="G1">
        <v>7</v>
      </c>
      <c r="H1">
        <v>8</v>
      </c>
      <c r="I1">
        <v>9</v>
      </c>
      <c r="J1">
        <v>10</v>
      </c>
      <c r="K1">
        <v>11</v>
      </c>
      <c r="L1">
        <v>12</v>
      </c>
      <c r="M1">
        <v>13</v>
      </c>
      <c r="N1">
        <v>14</v>
      </c>
      <c r="P1">
        <v>15</v>
      </c>
      <c r="Q1">
        <v>16</v>
      </c>
      <c r="R1">
        <v>17</v>
      </c>
      <c r="S1">
        <v>18</v>
      </c>
      <c r="T1">
        <v>19</v>
      </c>
      <c r="U1">
        <v>20</v>
      </c>
      <c r="V1">
        <v>21</v>
      </c>
      <c r="W1">
        <v>22</v>
      </c>
      <c r="X1">
        <v>23</v>
      </c>
      <c r="Y1">
        <v>24</v>
      </c>
      <c r="Z1">
        <v>25</v>
      </c>
      <c r="AA1">
        <v>26</v>
      </c>
      <c r="AB1">
        <v>27</v>
      </c>
      <c r="AC1">
        <v>28</v>
      </c>
      <c r="AD1">
        <v>29</v>
      </c>
      <c r="AE1">
        <v>30</v>
      </c>
    </row>
    <row r="3" spans="1:31" x14ac:dyDescent="0.2">
      <c r="E3" s="27" t="s">
        <v>84</v>
      </c>
    </row>
    <row r="4" spans="1:31" x14ac:dyDescent="0.2">
      <c r="E4" s="27" t="s">
        <v>44</v>
      </c>
      <c r="F4" s="27"/>
      <c r="G4" s="28">
        <v>40</v>
      </c>
    </row>
    <row r="5" spans="1:31" x14ac:dyDescent="0.2">
      <c r="E5" s="27" t="s">
        <v>76</v>
      </c>
      <c r="F5" s="27"/>
      <c r="G5" s="28">
        <v>64</v>
      </c>
    </row>
    <row r="6" spans="1:31" x14ac:dyDescent="0.2">
      <c r="E6" s="17"/>
      <c r="F6" s="17"/>
    </row>
    <row r="7" spans="1:31" x14ac:dyDescent="0.2">
      <c r="E7" s="17"/>
      <c r="F7" s="17"/>
    </row>
    <row r="8" spans="1:31" x14ac:dyDescent="0.2">
      <c r="E8" s="31" t="s">
        <v>68</v>
      </c>
      <c r="F8" s="31"/>
      <c r="G8" s="29"/>
    </row>
    <row r="9" spans="1:31" x14ac:dyDescent="0.2">
      <c r="E9" s="31" t="s">
        <v>69</v>
      </c>
      <c r="F9" s="31" t="s">
        <v>61</v>
      </c>
      <c r="G9" s="201">
        <v>185.00000136700001</v>
      </c>
    </row>
    <row r="10" spans="1:31" x14ac:dyDescent="0.2">
      <c r="E10" s="31" t="s">
        <v>70</v>
      </c>
      <c r="F10" s="31" t="s">
        <v>73</v>
      </c>
      <c r="G10" s="201">
        <v>833.00000271700003</v>
      </c>
    </row>
    <row r="11" spans="1:31" x14ac:dyDescent="0.2">
      <c r="E11" s="31" t="s">
        <v>71</v>
      </c>
      <c r="F11" s="31" t="s">
        <v>74</v>
      </c>
      <c r="G11" s="201">
        <v>0.76920002700000001</v>
      </c>
    </row>
    <row r="12" spans="1:31" x14ac:dyDescent="0.2">
      <c r="E12" s="31" t="s">
        <v>72</v>
      </c>
      <c r="F12" s="31" t="s">
        <v>75</v>
      </c>
      <c r="G12" s="201">
        <v>25000</v>
      </c>
    </row>
    <row r="16" spans="1:31" ht="13.5" thickBot="1" x14ac:dyDescent="0.25"/>
    <row r="17" spans="5:22" x14ac:dyDescent="0.2">
      <c r="E17" s="88"/>
      <c r="F17" s="1"/>
      <c r="G17" s="1"/>
      <c r="H17" s="237" t="s">
        <v>65</v>
      </c>
      <c r="I17" s="242"/>
      <c r="J17" s="239" t="s">
        <v>66</v>
      </c>
      <c r="K17" s="240"/>
      <c r="L17" s="235" t="s">
        <v>54</v>
      </c>
      <c r="M17" s="236"/>
      <c r="P17" s="17"/>
      <c r="Q17" s="237" t="s">
        <v>70</v>
      </c>
      <c r="R17" s="242"/>
      <c r="S17" s="239" t="s">
        <v>71</v>
      </c>
      <c r="T17" s="240"/>
      <c r="U17" s="235" t="s">
        <v>72</v>
      </c>
      <c r="V17" s="236"/>
    </row>
    <row r="18" spans="5:22" x14ac:dyDescent="0.2">
      <c r="E18" s="36"/>
      <c r="F18" s="32"/>
      <c r="G18" s="32"/>
      <c r="H18" s="67">
        <v>-0.5</v>
      </c>
      <c r="I18" s="68">
        <v>0.5</v>
      </c>
      <c r="J18" s="73">
        <v>-0.1</v>
      </c>
      <c r="K18" s="74">
        <v>0.1</v>
      </c>
      <c r="L18" s="79">
        <v>-0.2</v>
      </c>
      <c r="M18" s="35">
        <v>0.1</v>
      </c>
      <c r="P18" s="17"/>
      <c r="Q18" s="67">
        <v>-0.1</v>
      </c>
      <c r="R18" s="68">
        <v>0.1</v>
      </c>
      <c r="S18" s="73">
        <v>-0.1</v>
      </c>
      <c r="T18" s="74">
        <v>0.1</v>
      </c>
      <c r="U18" s="79">
        <v>-0.1</v>
      </c>
      <c r="V18" s="35">
        <v>0.1</v>
      </c>
    </row>
    <row r="19" spans="5:22" ht="13.5" thickBot="1" x14ac:dyDescent="0.25">
      <c r="E19" s="36"/>
      <c r="F19" s="32"/>
      <c r="G19" s="32"/>
      <c r="H19" s="82" t="s">
        <v>63</v>
      </c>
      <c r="I19" s="160" t="s">
        <v>64</v>
      </c>
      <c r="J19" s="86" t="s">
        <v>63</v>
      </c>
      <c r="K19" s="87" t="s">
        <v>64</v>
      </c>
      <c r="L19" s="161" t="s">
        <v>63</v>
      </c>
      <c r="M19" s="85" t="s">
        <v>64</v>
      </c>
      <c r="P19" s="17"/>
      <c r="Q19" s="82" t="s">
        <v>63</v>
      </c>
      <c r="R19" s="160" t="s">
        <v>64</v>
      </c>
      <c r="S19" s="86" t="s">
        <v>63</v>
      </c>
      <c r="T19" s="87" t="s">
        <v>64</v>
      </c>
      <c r="U19" s="161" t="s">
        <v>63</v>
      </c>
      <c r="V19" s="85" t="s">
        <v>64</v>
      </c>
    </row>
    <row r="20" spans="5:22" x14ac:dyDescent="0.2">
      <c r="E20" s="59" t="s">
        <v>45</v>
      </c>
      <c r="F20" s="127"/>
      <c r="G20" s="130" t="s">
        <v>93</v>
      </c>
      <c r="H20" s="71"/>
      <c r="I20" s="72"/>
      <c r="J20" s="77"/>
      <c r="K20" s="78"/>
      <c r="L20" s="81"/>
      <c r="M20" s="43"/>
      <c r="P20" s="107"/>
      <c r="Q20" s="162"/>
      <c r="R20" s="163"/>
      <c r="S20" s="164"/>
      <c r="T20" s="165"/>
      <c r="U20" s="166"/>
      <c r="V20" s="66"/>
    </row>
    <row r="21" spans="5:22" x14ac:dyDescent="0.2">
      <c r="E21" s="38" t="s">
        <v>46</v>
      </c>
      <c r="F21" s="57" t="s">
        <v>56</v>
      </c>
      <c r="G21" s="131">
        <v>24.400000748</v>
      </c>
      <c r="H21" s="96">
        <f>G21</f>
        <v>24.400000748</v>
      </c>
      <c r="I21" s="97">
        <f>H21</f>
        <v>24.400000748</v>
      </c>
      <c r="J21" s="143">
        <f>$G21</f>
        <v>24.400000748</v>
      </c>
      <c r="K21" s="144">
        <f>$G21</f>
        <v>24.400000748</v>
      </c>
      <c r="L21" s="155">
        <f>K21</f>
        <v>24.400000748</v>
      </c>
      <c r="M21" s="115">
        <f>L21</f>
        <v>24.400000748</v>
      </c>
      <c r="P21" s="108" t="s">
        <v>70</v>
      </c>
      <c r="Q21" s="178">
        <f>G10*(1-Q18)</f>
        <v>916.30000298870016</v>
      </c>
      <c r="R21" s="179">
        <f>G10*(1-R18)</f>
        <v>749.70000244530002</v>
      </c>
      <c r="S21" s="180">
        <f>G10</f>
        <v>833.00000271700003</v>
      </c>
      <c r="T21" s="181">
        <f>S21</f>
        <v>833.00000271700003</v>
      </c>
      <c r="U21" s="182">
        <f>T21</f>
        <v>833.00000271700003</v>
      </c>
      <c r="V21" s="171">
        <f>U21</f>
        <v>833.00000271700003</v>
      </c>
    </row>
    <row r="22" spans="5:22" x14ac:dyDescent="0.2">
      <c r="E22" s="38" t="s">
        <v>47</v>
      </c>
      <c r="F22" s="57" t="s">
        <v>57</v>
      </c>
      <c r="G22" s="131">
        <v>75.600001934000005</v>
      </c>
      <c r="H22" s="96">
        <f>G22</f>
        <v>75.600001934000005</v>
      </c>
      <c r="I22" s="97">
        <f>H22</f>
        <v>75.600001934000005</v>
      </c>
      <c r="J22" s="143">
        <f t="shared" ref="J22:K31" si="0">$G22</f>
        <v>75.600001934000005</v>
      </c>
      <c r="K22" s="144">
        <f t="shared" si="0"/>
        <v>75.600001934000005</v>
      </c>
      <c r="L22" s="155">
        <f>K22</f>
        <v>75.600001934000005</v>
      </c>
      <c r="M22" s="115">
        <f>L22</f>
        <v>75.600001934000005</v>
      </c>
      <c r="P22" s="108" t="s">
        <v>71</v>
      </c>
      <c r="Q22" s="183">
        <f>G11</f>
        <v>0.76920002700000001</v>
      </c>
      <c r="R22" s="184">
        <f>Q22</f>
        <v>0.76920002700000001</v>
      </c>
      <c r="S22" s="185">
        <f>$G11*(1+S18)</f>
        <v>0.69228002430000002</v>
      </c>
      <c r="T22" s="186">
        <f>$G11*(1+T18)</f>
        <v>0.84612002970000011</v>
      </c>
      <c r="U22" s="182">
        <f>G11</f>
        <v>0.76920002700000001</v>
      </c>
      <c r="V22" s="171">
        <f>U22</f>
        <v>0.76920002700000001</v>
      </c>
    </row>
    <row r="23" spans="5:22" x14ac:dyDescent="0.2">
      <c r="E23" s="38" t="s">
        <v>48</v>
      </c>
      <c r="F23" s="57" t="s">
        <v>58</v>
      </c>
      <c r="G23" s="131">
        <v>91.199996948000006</v>
      </c>
      <c r="H23" s="133">
        <f>H35/H24*100</f>
        <v>95.397487870047783</v>
      </c>
      <c r="I23" s="134">
        <f>I35/I24*100</f>
        <v>87.356317638833914</v>
      </c>
      <c r="J23" s="145">
        <f>J35/J24*100</f>
        <v>90.316898082694593</v>
      </c>
      <c r="K23" s="146">
        <f>K35/K24*100</f>
        <v>91.935481051491124</v>
      </c>
      <c r="L23" s="155">
        <f>G23</f>
        <v>91.199996948000006</v>
      </c>
      <c r="M23" s="115">
        <f>L23</f>
        <v>91.199996948000006</v>
      </c>
      <c r="P23" s="108" t="s">
        <v>72</v>
      </c>
      <c r="Q23" s="183">
        <f>G12</f>
        <v>25000</v>
      </c>
      <c r="R23" s="184">
        <f>Q23</f>
        <v>25000</v>
      </c>
      <c r="S23" s="180">
        <f>R23</f>
        <v>25000</v>
      </c>
      <c r="T23" s="181">
        <f>S23</f>
        <v>25000</v>
      </c>
      <c r="U23" s="182">
        <f>$G12*(1+U18)</f>
        <v>22500</v>
      </c>
      <c r="V23" s="171">
        <f>$G12*(1+V18)</f>
        <v>27500.000000000004</v>
      </c>
    </row>
    <row r="24" spans="5:22" x14ac:dyDescent="0.2">
      <c r="E24" s="38" t="s">
        <v>49</v>
      </c>
      <c r="F24" s="57" t="s">
        <v>59</v>
      </c>
      <c r="G24" s="131">
        <v>3420.0000310209998</v>
      </c>
      <c r="H24" s="133">
        <f>H33+H35</f>
        <v>3269.5199774668754</v>
      </c>
      <c r="I24" s="134">
        <f>I33+I35</f>
        <v>3570.4800845751242</v>
      </c>
      <c r="J24" s="145">
        <f>J33+J35</f>
        <v>3108.0960386297247</v>
      </c>
      <c r="K24" s="146">
        <f>K33+K35</f>
        <v>3731.9040234122754</v>
      </c>
      <c r="L24" s="155">
        <f>L33+L35</f>
        <v>3420.0000310209998</v>
      </c>
      <c r="M24" s="115">
        <f>L24</f>
        <v>3420.0000310209998</v>
      </c>
      <c r="P24" s="108"/>
      <c r="Q24" s="71"/>
      <c r="R24" s="72"/>
      <c r="S24" s="77"/>
      <c r="T24" s="78"/>
      <c r="U24" s="81"/>
      <c r="V24" s="43"/>
    </row>
    <row r="25" spans="5:22" x14ac:dyDescent="0.2">
      <c r="E25" s="38" t="s">
        <v>51</v>
      </c>
      <c r="F25" s="57" t="s">
        <v>60</v>
      </c>
      <c r="G25" s="131">
        <v>3680.999948438</v>
      </c>
      <c r="H25" s="96">
        <f t="shared" ref="H25:I27" si="1">G25</f>
        <v>3680.999948438</v>
      </c>
      <c r="I25" s="97">
        <f t="shared" si="1"/>
        <v>3680.999948438</v>
      </c>
      <c r="J25" s="143">
        <f t="shared" si="0"/>
        <v>3680.999948438</v>
      </c>
      <c r="K25" s="144">
        <f t="shared" si="0"/>
        <v>3680.999948438</v>
      </c>
      <c r="L25" s="155">
        <f>K25</f>
        <v>3680.999948438</v>
      </c>
      <c r="M25" s="115">
        <f>L25</f>
        <v>3680.999948438</v>
      </c>
      <c r="P25" s="108"/>
      <c r="Q25" s="71"/>
      <c r="R25" s="72"/>
      <c r="S25" s="77"/>
      <c r="T25" s="78"/>
      <c r="U25" s="81"/>
      <c r="V25" s="43"/>
    </row>
    <row r="26" spans="5:22" ht="18" x14ac:dyDescent="0.25">
      <c r="E26" s="116" t="s">
        <v>52</v>
      </c>
      <c r="F26" s="128" t="s">
        <v>56</v>
      </c>
      <c r="G26" s="132">
        <v>165.50000340899999</v>
      </c>
      <c r="H26" s="135">
        <f t="shared" si="1"/>
        <v>165.50000340899999</v>
      </c>
      <c r="I26" s="136">
        <f t="shared" si="1"/>
        <v>165.50000340899999</v>
      </c>
      <c r="J26" s="147">
        <f t="shared" si="0"/>
        <v>165.50000340899999</v>
      </c>
      <c r="K26" s="148">
        <f t="shared" si="0"/>
        <v>165.50000340899999</v>
      </c>
      <c r="L26" s="156">
        <f>K26</f>
        <v>165.50000340899999</v>
      </c>
      <c r="M26" s="117">
        <f>L26</f>
        <v>165.50000340899999</v>
      </c>
      <c r="P26" s="108"/>
      <c r="Q26" s="71"/>
      <c r="R26" s="72"/>
      <c r="S26" s="77"/>
      <c r="T26" s="78"/>
      <c r="U26" s="81"/>
      <c r="V26" s="43"/>
    </row>
    <row r="27" spans="5:22" x14ac:dyDescent="0.2">
      <c r="E27" s="38" t="s">
        <v>55</v>
      </c>
      <c r="F27" s="57" t="s">
        <v>56</v>
      </c>
      <c r="G27" s="131">
        <v>193.00000093</v>
      </c>
      <c r="H27" s="96">
        <f t="shared" si="1"/>
        <v>193.00000093</v>
      </c>
      <c r="I27" s="97">
        <f t="shared" si="1"/>
        <v>193.00000093</v>
      </c>
      <c r="J27" s="143">
        <f t="shared" si="0"/>
        <v>193.00000093</v>
      </c>
      <c r="K27" s="144">
        <f t="shared" si="0"/>
        <v>193.00000093</v>
      </c>
      <c r="L27" s="155">
        <f>K27</f>
        <v>193.00000093</v>
      </c>
      <c r="M27" s="115">
        <f>L27</f>
        <v>193.00000093</v>
      </c>
      <c r="P27" s="108"/>
      <c r="Q27" s="71"/>
      <c r="R27" s="72"/>
      <c r="S27" s="77"/>
      <c r="T27" s="78"/>
      <c r="U27" s="81"/>
      <c r="V27" s="43"/>
    </row>
    <row r="28" spans="5:22" x14ac:dyDescent="0.2">
      <c r="E28" s="38" t="s">
        <v>1</v>
      </c>
      <c r="F28" s="57" t="s">
        <v>61</v>
      </c>
      <c r="G28" s="131">
        <v>318.19999975600001</v>
      </c>
      <c r="H28" s="96">
        <f>H34/H33</f>
        <v>636.39999951200002</v>
      </c>
      <c r="I28" s="96">
        <f>I34/I33</f>
        <v>212.13333317066667</v>
      </c>
      <c r="J28" s="143">
        <f t="shared" si="0"/>
        <v>318.19999975600001</v>
      </c>
      <c r="K28" s="144">
        <f t="shared" si="0"/>
        <v>318.19999975600001</v>
      </c>
      <c r="L28" s="157">
        <f>L34/L33</f>
        <v>405.91926996846212</v>
      </c>
      <c r="M28" s="118">
        <f>M34/M33</f>
        <v>274.3403646497689</v>
      </c>
      <c r="P28" s="108"/>
      <c r="Q28" s="71"/>
      <c r="R28" s="72"/>
      <c r="S28" s="77"/>
      <c r="T28" s="78"/>
      <c r="U28" s="81"/>
      <c r="V28" s="43"/>
    </row>
    <row r="29" spans="5:22" x14ac:dyDescent="0.2">
      <c r="E29" s="38" t="s">
        <v>53</v>
      </c>
      <c r="F29" s="57" t="s">
        <v>61</v>
      </c>
      <c r="G29" s="131">
        <v>0</v>
      </c>
      <c r="H29" s="96">
        <f t="shared" ref="H29:I31" si="2">G29</f>
        <v>0</v>
      </c>
      <c r="I29" s="97">
        <f t="shared" si="2"/>
        <v>0</v>
      </c>
      <c r="J29" s="143">
        <f t="shared" si="0"/>
        <v>0</v>
      </c>
      <c r="K29" s="144">
        <f t="shared" si="0"/>
        <v>0</v>
      </c>
      <c r="L29" s="155">
        <f>K29</f>
        <v>0</v>
      </c>
      <c r="M29" s="115">
        <f>L29</f>
        <v>0</v>
      </c>
      <c r="P29" s="108"/>
      <c r="Q29" s="71"/>
      <c r="R29" s="72"/>
      <c r="S29" s="77"/>
      <c r="T29" s="78"/>
      <c r="U29" s="81"/>
      <c r="V29" s="43"/>
    </row>
    <row r="30" spans="5:22" x14ac:dyDescent="0.2">
      <c r="E30" s="38" t="s">
        <v>54</v>
      </c>
      <c r="F30" s="57" t="s">
        <v>62</v>
      </c>
      <c r="G30" s="131">
        <v>132.00000479299999</v>
      </c>
      <c r="H30" s="96">
        <f t="shared" si="2"/>
        <v>132.00000479299999</v>
      </c>
      <c r="I30" s="97">
        <f t="shared" si="2"/>
        <v>132.00000479299999</v>
      </c>
      <c r="J30" s="143">
        <f t="shared" si="0"/>
        <v>132.00000479299999</v>
      </c>
      <c r="K30" s="144">
        <f t="shared" si="0"/>
        <v>132.00000479299999</v>
      </c>
      <c r="L30" s="157">
        <f>$G30*(1+L18)</f>
        <v>105.6000038344</v>
      </c>
      <c r="M30" s="118">
        <f>$G30*(1+M18)</f>
        <v>145.20000527229999</v>
      </c>
      <c r="P30" s="108"/>
      <c r="Q30" s="96"/>
      <c r="R30" s="97"/>
      <c r="S30" s="77"/>
      <c r="T30" s="78"/>
      <c r="U30" s="81"/>
      <c r="V30" s="43"/>
    </row>
    <row r="31" spans="5:22" x14ac:dyDescent="0.2">
      <c r="E31" s="38" t="s">
        <v>50</v>
      </c>
      <c r="F31" s="57" t="s">
        <v>60</v>
      </c>
      <c r="G31" s="131">
        <v>2781.5000249999998</v>
      </c>
      <c r="H31" s="96">
        <f t="shared" si="2"/>
        <v>2781.5000249999998</v>
      </c>
      <c r="I31" s="97">
        <f t="shared" si="2"/>
        <v>2781.5000249999998</v>
      </c>
      <c r="J31" s="143">
        <f t="shared" si="0"/>
        <v>2781.5000249999998</v>
      </c>
      <c r="K31" s="144">
        <f t="shared" si="0"/>
        <v>2781.5000249999998</v>
      </c>
      <c r="L31" s="155">
        <f>K31</f>
        <v>2781.5000249999998</v>
      </c>
      <c r="M31" s="115">
        <f>L31</f>
        <v>2781.5000249999998</v>
      </c>
      <c r="P31" s="108"/>
      <c r="Q31" s="96"/>
      <c r="R31" s="97"/>
      <c r="S31" s="77"/>
      <c r="T31" s="78"/>
      <c r="U31" s="81"/>
      <c r="V31" s="43"/>
    </row>
    <row r="32" spans="5:22" x14ac:dyDescent="0.2">
      <c r="E32" s="38"/>
      <c r="F32" s="57"/>
      <c r="G32" s="38"/>
      <c r="H32" s="71"/>
      <c r="I32" s="72"/>
      <c r="J32" s="77"/>
      <c r="K32" s="78"/>
      <c r="L32" s="81"/>
      <c r="M32" s="43"/>
      <c r="P32" s="108"/>
      <c r="Q32" s="96"/>
      <c r="R32" s="97"/>
      <c r="S32" s="77"/>
      <c r="T32" s="78"/>
      <c r="U32" s="81"/>
      <c r="V32" s="43"/>
    </row>
    <row r="33" spans="5:24" x14ac:dyDescent="0.2">
      <c r="E33" s="38" t="s">
        <v>65</v>
      </c>
      <c r="F33" s="57" t="s">
        <v>59</v>
      </c>
      <c r="G33" s="177">
        <f>G24-G35</f>
        <v>300.96010710824839</v>
      </c>
      <c r="H33" s="178">
        <f>G33*(1+H18)</f>
        <v>150.4800535541242</v>
      </c>
      <c r="I33" s="179">
        <f>G33*(1+I18)</f>
        <v>451.44016066237259</v>
      </c>
      <c r="J33" s="180">
        <f>$G33</f>
        <v>300.96010710824839</v>
      </c>
      <c r="K33" s="181">
        <f>$G33</f>
        <v>300.96010710824839</v>
      </c>
      <c r="L33" s="182">
        <f t="shared" ref="L33:M35" si="3">K33</f>
        <v>300.96010710824839</v>
      </c>
      <c r="M33" s="171">
        <f t="shared" si="3"/>
        <v>300.96010710824839</v>
      </c>
      <c r="P33" s="108"/>
      <c r="Q33" s="96"/>
      <c r="R33" s="97"/>
      <c r="S33" s="77"/>
      <c r="T33" s="78"/>
      <c r="U33" s="81"/>
      <c r="V33" s="43"/>
    </row>
    <row r="34" spans="5:24" x14ac:dyDescent="0.2">
      <c r="E34" s="38" t="s">
        <v>67</v>
      </c>
      <c r="F34" s="57" t="s">
        <v>59</v>
      </c>
      <c r="G34" s="177">
        <f>G33*SUM(G28,G29)</f>
        <v>95765.506008410375</v>
      </c>
      <c r="H34" s="183">
        <f>G34</f>
        <v>95765.506008410375</v>
      </c>
      <c r="I34" s="184">
        <f>H34</f>
        <v>95765.506008410375</v>
      </c>
      <c r="J34" s="180">
        <f>$G34</f>
        <v>95765.506008410375</v>
      </c>
      <c r="K34" s="181">
        <f>$G34</f>
        <v>95765.506008410375</v>
      </c>
      <c r="L34" s="182">
        <f>L36-L30*1000</f>
        <v>122165.50696701035</v>
      </c>
      <c r="M34" s="171">
        <f>M36-M30*1000</f>
        <v>82565.505529110378</v>
      </c>
      <c r="P34" s="108"/>
      <c r="Q34" s="96"/>
      <c r="R34" s="97"/>
      <c r="S34" s="77"/>
      <c r="T34" s="78"/>
      <c r="U34" s="81"/>
      <c r="V34" s="43"/>
    </row>
    <row r="35" spans="5:24" x14ac:dyDescent="0.2">
      <c r="E35" s="38" t="s">
        <v>66</v>
      </c>
      <c r="F35" s="57" t="s">
        <v>59</v>
      </c>
      <c r="G35" s="177">
        <f>G24*G23/100</f>
        <v>3119.0399239127514</v>
      </c>
      <c r="H35" s="178">
        <f>G35</f>
        <v>3119.0399239127514</v>
      </c>
      <c r="I35" s="179">
        <f>H35</f>
        <v>3119.0399239127514</v>
      </c>
      <c r="J35" s="185">
        <f>$G35*(1+J18)</f>
        <v>2807.1359315214763</v>
      </c>
      <c r="K35" s="186">
        <f>$G35*(1+K18)</f>
        <v>3430.943916304027</v>
      </c>
      <c r="L35" s="182">
        <f>G35</f>
        <v>3119.0399239127514</v>
      </c>
      <c r="M35" s="171">
        <f t="shared" si="3"/>
        <v>3119.0399239127514</v>
      </c>
      <c r="P35" s="108"/>
      <c r="Q35" s="96"/>
      <c r="R35" s="97"/>
      <c r="S35" s="77"/>
      <c r="T35" s="78"/>
      <c r="U35" s="81"/>
      <c r="V35" s="43"/>
    </row>
    <row r="36" spans="5:24" ht="13.5" thickBot="1" x14ac:dyDescent="0.25">
      <c r="E36" s="47" t="s">
        <v>81</v>
      </c>
      <c r="F36" s="129" t="s">
        <v>59</v>
      </c>
      <c r="G36" s="187">
        <f>G34+G30*1000</f>
        <v>227765.51080141036</v>
      </c>
      <c r="H36" s="188">
        <f>H34+H30*1000</f>
        <v>227765.51080141036</v>
      </c>
      <c r="I36" s="189">
        <f>I34+I30*1000</f>
        <v>227765.51080141036</v>
      </c>
      <c r="J36" s="190">
        <f>J34+J30*1000</f>
        <v>227765.51080141036</v>
      </c>
      <c r="K36" s="191">
        <f>K34+K30*1000</f>
        <v>227765.51080141036</v>
      </c>
      <c r="L36" s="192">
        <f>K36</f>
        <v>227765.51080141036</v>
      </c>
      <c r="M36" s="176">
        <f>L36</f>
        <v>227765.51080141036</v>
      </c>
      <c r="P36" s="109"/>
      <c r="Q36" s="98"/>
      <c r="R36" s="99"/>
      <c r="S36" s="102"/>
      <c r="T36" s="103"/>
      <c r="U36" s="105"/>
      <c r="V36" s="106"/>
    </row>
    <row r="37" spans="5:24" x14ac:dyDescent="0.2">
      <c r="E37" s="17"/>
      <c r="F37" s="17"/>
      <c r="G37" s="17"/>
      <c r="H37" s="19"/>
      <c r="I37" s="19"/>
      <c r="J37" s="20"/>
      <c r="K37" s="20"/>
      <c r="L37" s="21"/>
      <c r="M37" s="21"/>
      <c r="P37" s="17"/>
      <c r="Q37" s="19"/>
      <c r="R37" s="19"/>
      <c r="S37" s="20"/>
      <c r="T37" s="20"/>
      <c r="U37" s="21"/>
      <c r="V37" s="21"/>
    </row>
    <row r="38" spans="5:24" ht="13.5" thickBot="1" x14ac:dyDescent="0.25">
      <c r="E38" s="17"/>
      <c r="F38" s="17"/>
      <c r="G38" s="17"/>
      <c r="H38" s="19"/>
      <c r="I38" s="19"/>
      <c r="J38" s="20"/>
      <c r="K38" s="20"/>
      <c r="L38" s="21"/>
      <c r="M38" s="21"/>
      <c r="P38" s="17"/>
      <c r="Q38" s="19"/>
      <c r="R38" s="19"/>
      <c r="S38" s="20"/>
      <c r="T38" s="20"/>
      <c r="U38" s="21"/>
      <c r="V38" s="21"/>
    </row>
    <row r="39" spans="5:24" x14ac:dyDescent="0.2">
      <c r="E39" s="59" t="s">
        <v>77</v>
      </c>
      <c r="F39" s="60"/>
      <c r="G39" s="60"/>
      <c r="H39" s="63"/>
      <c r="I39" s="63"/>
      <c r="J39" s="64"/>
      <c r="K39" s="64"/>
      <c r="L39" s="65"/>
      <c r="M39" s="66"/>
      <c r="P39" s="59" t="s">
        <v>77</v>
      </c>
      <c r="Q39" s="63"/>
      <c r="R39" s="63"/>
      <c r="S39" s="64"/>
      <c r="T39" s="64"/>
      <c r="U39" s="65"/>
      <c r="V39" s="66"/>
      <c r="W39" s="16"/>
      <c r="X39" s="16"/>
    </row>
    <row r="40" spans="5:24" x14ac:dyDescent="0.2">
      <c r="E40" s="38" t="s">
        <v>78</v>
      </c>
      <c r="F40" s="39"/>
      <c r="G40" s="167">
        <v>3680.999948438</v>
      </c>
      <c r="H40" s="168">
        <v>3680.999948438</v>
      </c>
      <c r="I40" s="168">
        <v>3680.999948438</v>
      </c>
      <c r="J40" s="169">
        <v>3680.999948438</v>
      </c>
      <c r="K40" s="169">
        <v>3680.999948438</v>
      </c>
      <c r="L40" s="170">
        <v>3680.999948438</v>
      </c>
      <c r="M40" s="171">
        <v>3680.999948438</v>
      </c>
      <c r="P40" s="38" t="s">
        <v>78</v>
      </c>
      <c r="Q40" s="168">
        <v>3680.999948438</v>
      </c>
      <c r="R40" s="168">
        <v>3680.999948438</v>
      </c>
      <c r="S40" s="169">
        <v>3680.999948438</v>
      </c>
      <c r="T40" s="169">
        <v>3680.999948438</v>
      </c>
      <c r="U40" s="170">
        <v>3680.999948438</v>
      </c>
      <c r="V40" s="171">
        <v>3680.999948438</v>
      </c>
      <c r="W40" s="16"/>
      <c r="X40" s="16"/>
    </row>
    <row r="41" spans="5:24" x14ac:dyDescent="0.2">
      <c r="E41" s="38" t="s">
        <v>24</v>
      </c>
      <c r="F41" s="39"/>
      <c r="G41" s="167">
        <v>174.7932639</v>
      </c>
      <c r="H41" s="168">
        <v>170.73581050300001</v>
      </c>
      <c r="I41" s="168">
        <v>179.19181924099999</v>
      </c>
      <c r="J41" s="169">
        <v>165.89630044</v>
      </c>
      <c r="K41" s="169">
        <v>183.333218324</v>
      </c>
      <c r="L41" s="170">
        <v>174.66647847600001</v>
      </c>
      <c r="M41" s="171">
        <v>175.00853989500001</v>
      </c>
      <c r="P41" s="38" t="s">
        <v>24</v>
      </c>
      <c r="Q41" s="168">
        <v>175.69520449999999</v>
      </c>
      <c r="R41" s="168">
        <v>177.54131945200001</v>
      </c>
      <c r="S41" s="169">
        <v>173.362113669</v>
      </c>
      <c r="T41" s="169">
        <v>176.43686219899999</v>
      </c>
      <c r="U41" s="170">
        <v>174.50994931299999</v>
      </c>
      <c r="V41" s="171">
        <v>175.22738446400001</v>
      </c>
      <c r="W41" s="22"/>
      <c r="X41" s="16"/>
    </row>
    <row r="42" spans="5:24" x14ac:dyDescent="0.2">
      <c r="E42" s="38" t="s">
        <v>80</v>
      </c>
      <c r="F42" s="39"/>
      <c r="G42" s="167">
        <v>202.48572883200001</v>
      </c>
      <c r="H42" s="168">
        <v>201.23305786899999</v>
      </c>
      <c r="I42" s="168">
        <v>203.84658486199999</v>
      </c>
      <c r="J42" s="169">
        <v>198.87966655700001</v>
      </c>
      <c r="K42" s="169">
        <v>205.975778741</v>
      </c>
      <c r="L42" s="170">
        <v>201.98484897599999</v>
      </c>
      <c r="M42" s="171">
        <v>202.74256526400001</v>
      </c>
      <c r="P42" s="38" t="s">
        <v>80</v>
      </c>
      <c r="Q42" s="168">
        <v>202.81491308</v>
      </c>
      <c r="R42" s="168">
        <v>203.400866428</v>
      </c>
      <c r="S42" s="169">
        <v>202.349163492</v>
      </c>
      <c r="T42" s="169">
        <v>202.64405911599999</v>
      </c>
      <c r="U42" s="170">
        <v>202.18075029900001</v>
      </c>
      <c r="V42" s="171">
        <v>202.79067370000001</v>
      </c>
      <c r="W42" s="22"/>
      <c r="X42" s="16"/>
    </row>
    <row r="43" spans="5:24" x14ac:dyDescent="0.2">
      <c r="E43" s="38" t="s">
        <v>79</v>
      </c>
      <c r="F43" s="39"/>
      <c r="G43" s="167">
        <v>156.30228647300001</v>
      </c>
      <c r="H43" s="168">
        <v>151.98915811500001</v>
      </c>
      <c r="I43" s="168">
        <v>160.54873970400001</v>
      </c>
      <c r="J43" s="169">
        <v>147.83781078600001</v>
      </c>
      <c r="K43" s="169">
        <v>164.14614986699999</v>
      </c>
      <c r="L43" s="170">
        <v>155.691874918</v>
      </c>
      <c r="M43" s="171">
        <v>156.64229427800001</v>
      </c>
      <c r="P43" s="38" t="s">
        <v>79</v>
      </c>
      <c r="Q43" s="168">
        <v>155.87294645399999</v>
      </c>
      <c r="R43" s="168">
        <v>159.33195649000001</v>
      </c>
      <c r="S43" s="169">
        <v>154.770711143</v>
      </c>
      <c r="T43" s="169">
        <v>157.91689851300001</v>
      </c>
      <c r="U43" s="170">
        <v>156.045837199</v>
      </c>
      <c r="V43" s="171">
        <v>156.558853578</v>
      </c>
      <c r="W43" s="22"/>
      <c r="X43" s="16"/>
    </row>
    <row r="44" spans="5:24" ht="13.5" thickBot="1" x14ac:dyDescent="0.25">
      <c r="E44" s="47"/>
      <c r="F44" s="48"/>
      <c r="G44" s="49"/>
      <c r="H44" s="50"/>
      <c r="I44" s="50"/>
      <c r="J44" s="51"/>
      <c r="K44" s="51"/>
      <c r="L44" s="52"/>
      <c r="M44" s="53"/>
      <c r="P44" s="47"/>
      <c r="Q44" s="50"/>
      <c r="R44" s="50"/>
      <c r="S44" s="51"/>
      <c r="T44" s="51"/>
      <c r="U44" s="52"/>
      <c r="V44" s="53"/>
      <c r="W44" s="22"/>
      <c r="X44" s="16"/>
    </row>
    <row r="45" spans="5:24" x14ac:dyDescent="0.2">
      <c r="E45" s="59"/>
      <c r="F45" s="60"/>
      <c r="G45" s="110" t="s">
        <v>82</v>
      </c>
      <c r="H45" s="111" t="s">
        <v>82</v>
      </c>
      <c r="I45" s="111" t="s">
        <v>82</v>
      </c>
      <c r="J45" s="112" t="s">
        <v>82</v>
      </c>
      <c r="K45" s="112" t="s">
        <v>82</v>
      </c>
      <c r="L45" s="113" t="s">
        <v>82</v>
      </c>
      <c r="M45" s="114" t="s">
        <v>82</v>
      </c>
      <c r="P45" s="59"/>
      <c r="Q45" s="111" t="s">
        <v>82</v>
      </c>
      <c r="R45" s="111" t="s">
        <v>82</v>
      </c>
      <c r="S45" s="112" t="s">
        <v>82</v>
      </c>
      <c r="T45" s="112" t="s">
        <v>82</v>
      </c>
      <c r="U45" s="113" t="s">
        <v>82</v>
      </c>
      <c r="V45" s="114" t="s">
        <v>82</v>
      </c>
      <c r="W45" s="22"/>
      <c r="X45" s="16"/>
    </row>
    <row r="46" spans="5:24" x14ac:dyDescent="0.2">
      <c r="E46" s="38" t="s">
        <v>24</v>
      </c>
      <c r="F46" s="39"/>
      <c r="G46" s="167">
        <v>131.59047724199999</v>
      </c>
      <c r="H46" s="168">
        <v>128.12023124300001</v>
      </c>
      <c r="I46" s="168">
        <v>135.331514148</v>
      </c>
      <c r="J46" s="169">
        <v>124.649185682</v>
      </c>
      <c r="K46" s="169">
        <v>137.95480422399999</v>
      </c>
      <c r="L46" s="170">
        <v>131.173610403</v>
      </c>
      <c r="M46" s="171">
        <v>131.89336007899999</v>
      </c>
      <c r="P46" s="38" t="s">
        <v>24</v>
      </c>
      <c r="Q46" s="168">
        <v>131.383786028</v>
      </c>
      <c r="R46" s="168">
        <v>135.29301729900001</v>
      </c>
      <c r="S46" s="169">
        <v>129.94345344800001</v>
      </c>
      <c r="T46" s="169">
        <v>133.37378021699999</v>
      </c>
      <c r="U46" s="170">
        <v>131.32442479599999</v>
      </c>
      <c r="V46" s="171">
        <v>131.92511535</v>
      </c>
      <c r="W46" s="22"/>
      <c r="X46" s="16"/>
    </row>
    <row r="47" spans="5:24" x14ac:dyDescent="0.2">
      <c r="E47" s="38" t="s">
        <v>80</v>
      </c>
      <c r="F47" s="39"/>
      <c r="G47" s="167">
        <v>168.346736534</v>
      </c>
      <c r="H47" s="168">
        <v>167.67261244100001</v>
      </c>
      <c r="I47" s="168">
        <v>169.116774507</v>
      </c>
      <c r="J47" s="169">
        <v>166.13453961100001</v>
      </c>
      <c r="K47" s="169">
        <v>170.33468552599999</v>
      </c>
      <c r="L47" s="170">
        <v>167.773626691</v>
      </c>
      <c r="M47" s="171">
        <v>168.63930921799999</v>
      </c>
      <c r="P47" s="38" t="s">
        <v>80</v>
      </c>
      <c r="Q47" s="168">
        <v>168.39215170599999</v>
      </c>
      <c r="R47" s="168">
        <v>169.56555652899999</v>
      </c>
      <c r="S47" s="169">
        <v>168.23122915499999</v>
      </c>
      <c r="T47" s="169">
        <v>168.48623079999999</v>
      </c>
      <c r="U47" s="170">
        <v>168.05515699099999</v>
      </c>
      <c r="V47" s="171">
        <v>168.63828241100001</v>
      </c>
      <c r="W47" s="22"/>
      <c r="X47" s="16"/>
    </row>
    <row r="48" spans="5:24" x14ac:dyDescent="0.2">
      <c r="E48" s="38" t="s">
        <v>79</v>
      </c>
      <c r="F48" s="39"/>
      <c r="G48" s="167">
        <v>119.41823488</v>
      </c>
      <c r="H48" s="168">
        <v>115.60828406900001</v>
      </c>
      <c r="I48" s="168">
        <v>123.14928145899999</v>
      </c>
      <c r="J48" s="169">
        <v>112.36357372000001</v>
      </c>
      <c r="K48" s="169">
        <v>125.755351475</v>
      </c>
      <c r="L48" s="170">
        <v>118.731014789</v>
      </c>
      <c r="M48" s="171">
        <v>119.79557806299999</v>
      </c>
      <c r="P48" s="38" t="s">
        <v>79</v>
      </c>
      <c r="Q48" s="168">
        <v>118.57468762000001</v>
      </c>
      <c r="R48" s="168">
        <v>122.908411035</v>
      </c>
      <c r="S48" s="169">
        <v>117.796056451</v>
      </c>
      <c r="T48" s="169">
        <v>121.12832314400001</v>
      </c>
      <c r="U48" s="170">
        <v>119.174856354</v>
      </c>
      <c r="V48" s="171">
        <v>119.66173123599999</v>
      </c>
      <c r="W48" s="22"/>
      <c r="X48" s="16"/>
    </row>
    <row r="49" spans="5:24" ht="13.5" thickBot="1" x14ac:dyDescent="0.25">
      <c r="E49" s="47"/>
      <c r="F49" s="48"/>
      <c r="G49" s="49"/>
      <c r="H49" s="50"/>
      <c r="I49" s="50"/>
      <c r="J49" s="51"/>
      <c r="K49" s="51"/>
      <c r="L49" s="52"/>
      <c r="M49" s="53"/>
      <c r="P49" s="47"/>
      <c r="Q49" s="50"/>
      <c r="R49" s="50"/>
      <c r="S49" s="51"/>
      <c r="T49" s="51"/>
      <c r="U49" s="52"/>
      <c r="V49" s="53"/>
      <c r="W49" s="22"/>
      <c r="X49" s="16"/>
    </row>
    <row r="50" spans="5:24" x14ac:dyDescent="0.2">
      <c r="E50" s="59"/>
      <c r="F50" s="60"/>
      <c r="G50" s="110" t="s">
        <v>83</v>
      </c>
      <c r="H50" s="111" t="s">
        <v>83</v>
      </c>
      <c r="I50" s="111" t="s">
        <v>83</v>
      </c>
      <c r="J50" s="112" t="s">
        <v>83</v>
      </c>
      <c r="K50" s="112" t="s">
        <v>83</v>
      </c>
      <c r="L50" s="113" t="s">
        <v>83</v>
      </c>
      <c r="M50" s="114" t="s">
        <v>83</v>
      </c>
      <c r="P50" s="59"/>
      <c r="Q50" s="111" t="s">
        <v>83</v>
      </c>
      <c r="R50" s="111" t="s">
        <v>83</v>
      </c>
      <c r="S50" s="112" t="s">
        <v>83</v>
      </c>
      <c r="T50" s="112" t="s">
        <v>83</v>
      </c>
      <c r="U50" s="113" t="s">
        <v>83</v>
      </c>
      <c r="V50" s="114" t="s">
        <v>83</v>
      </c>
      <c r="W50" s="22"/>
      <c r="X50" s="16"/>
    </row>
    <row r="51" spans="5:24" x14ac:dyDescent="0.2">
      <c r="E51" s="38" t="s">
        <v>24</v>
      </c>
      <c r="F51" s="39"/>
      <c r="G51" s="167">
        <v>18.647557088999999</v>
      </c>
      <c r="H51" s="168">
        <v>18.061698426</v>
      </c>
      <c r="I51" s="168">
        <v>19.301496427</v>
      </c>
      <c r="J51" s="169">
        <v>16.705912257000001</v>
      </c>
      <c r="K51" s="169">
        <v>20.807445766000001</v>
      </c>
      <c r="L51" s="170">
        <v>18.935921547</v>
      </c>
      <c r="M51" s="171">
        <v>18.559840831999999</v>
      </c>
      <c r="P51" s="38" t="s">
        <v>24</v>
      </c>
      <c r="Q51" s="168">
        <v>19.750617212000002</v>
      </c>
      <c r="R51" s="168">
        <v>17.699919366</v>
      </c>
      <c r="S51" s="169">
        <v>18.861715798999999</v>
      </c>
      <c r="T51" s="169">
        <v>18.508525727999999</v>
      </c>
      <c r="U51" s="170">
        <v>18.630463276</v>
      </c>
      <c r="V51" s="171">
        <v>18.745604539999999</v>
      </c>
      <c r="W51" s="22"/>
      <c r="X51" s="16"/>
    </row>
    <row r="52" spans="5:24" x14ac:dyDescent="0.2">
      <c r="E52" s="38" t="s">
        <v>80</v>
      </c>
      <c r="F52" s="39"/>
      <c r="G52" s="167">
        <v>9.5111108679999994</v>
      </c>
      <c r="H52" s="168">
        <v>8.9332762399999996</v>
      </c>
      <c r="I52" s="168">
        <v>10.101163027</v>
      </c>
      <c r="J52" s="169">
        <v>8.1313983049999994</v>
      </c>
      <c r="K52" s="169">
        <v>10.999195237</v>
      </c>
      <c r="L52" s="170">
        <v>9.5837269589999998</v>
      </c>
      <c r="M52" s="171">
        <v>9.4752389000000008</v>
      </c>
      <c r="P52" s="38" t="s">
        <v>80</v>
      </c>
      <c r="Q52" s="168">
        <v>9.7882183230000006</v>
      </c>
      <c r="R52" s="168">
        <v>9.2218732029999995</v>
      </c>
      <c r="S52" s="169">
        <v>9.4862013279999999</v>
      </c>
      <c r="T52" s="169">
        <v>9.5342519009999993</v>
      </c>
      <c r="U52" s="170">
        <v>9.4979570070000001</v>
      </c>
      <c r="V52" s="171">
        <v>9.5242615730000004</v>
      </c>
      <c r="W52" s="22"/>
      <c r="X52" s="16"/>
    </row>
    <row r="53" spans="5:24" ht="13.5" thickBot="1" x14ac:dyDescent="0.25">
      <c r="E53" s="47" t="s">
        <v>79</v>
      </c>
      <c r="F53" s="48"/>
      <c r="G53" s="172">
        <v>12.447396147999999</v>
      </c>
      <c r="H53" s="173">
        <v>11.945522098</v>
      </c>
      <c r="I53" s="173">
        <v>12.961290994000001</v>
      </c>
      <c r="J53" s="174">
        <v>11.041144935</v>
      </c>
      <c r="K53" s="174">
        <v>13.950296628</v>
      </c>
      <c r="L53" s="175">
        <v>12.524230985000001</v>
      </c>
      <c r="M53" s="176">
        <v>12.410035519999999</v>
      </c>
      <c r="P53" s="47" t="s">
        <v>79</v>
      </c>
      <c r="Q53" s="173">
        <v>12.861014236000001</v>
      </c>
      <c r="R53" s="173">
        <v>11.987777943999999</v>
      </c>
      <c r="S53" s="174">
        <v>12.53767311</v>
      </c>
      <c r="T53" s="174">
        <v>12.35220503</v>
      </c>
      <c r="U53" s="175">
        <v>12.434295941</v>
      </c>
      <c r="V53" s="176">
        <v>12.460491094</v>
      </c>
      <c r="W53" s="22"/>
      <c r="X53" s="16"/>
    </row>
    <row r="54" spans="5:24" x14ac:dyDescent="0.2">
      <c r="Q54" s="16"/>
      <c r="R54" s="16"/>
      <c r="S54" s="16"/>
      <c r="T54" s="16"/>
      <c r="U54" s="16"/>
      <c r="V54" s="16"/>
      <c r="W54" s="16"/>
      <c r="X54" s="16"/>
    </row>
    <row r="55" spans="5:24" ht="13.5" thickBot="1" x14ac:dyDescent="0.25">
      <c r="Q55" s="16"/>
      <c r="R55" s="16"/>
      <c r="S55" s="16"/>
      <c r="T55" s="16"/>
      <c r="U55" s="16"/>
      <c r="V55" s="16"/>
      <c r="W55" s="16"/>
      <c r="X55" s="16"/>
    </row>
    <row r="56" spans="5:24" x14ac:dyDescent="0.2">
      <c r="E56" s="243" t="s">
        <v>85</v>
      </c>
      <c r="F56" s="244"/>
      <c r="G56" s="54"/>
      <c r="H56" s="237" t="s">
        <v>65</v>
      </c>
      <c r="I56" s="238"/>
      <c r="J56" s="239" t="s">
        <v>66</v>
      </c>
      <c r="K56" s="240"/>
      <c r="L56" s="241" t="s">
        <v>54</v>
      </c>
      <c r="M56" s="236"/>
      <c r="N56" s="88"/>
      <c r="O56" s="1"/>
      <c r="P56" s="107"/>
      <c r="Q56" s="237" t="s">
        <v>70</v>
      </c>
      <c r="R56" s="242"/>
      <c r="S56" s="239" t="s">
        <v>71</v>
      </c>
      <c r="T56" s="240"/>
      <c r="U56" s="235" t="s">
        <v>72</v>
      </c>
      <c r="V56" s="236"/>
      <c r="W56" s="16"/>
      <c r="X56" s="16"/>
    </row>
    <row r="57" spans="5:24" x14ac:dyDescent="0.2">
      <c r="E57" s="245"/>
      <c r="F57" s="246"/>
      <c r="G57" s="55"/>
      <c r="H57" s="67">
        <v>-0.2</v>
      </c>
      <c r="I57" s="33">
        <v>0.2</v>
      </c>
      <c r="J57" s="73">
        <v>-0.05</v>
      </c>
      <c r="K57" s="74">
        <v>0.05</v>
      </c>
      <c r="L57" s="34">
        <v>-0.2</v>
      </c>
      <c r="M57" s="35">
        <v>0.2</v>
      </c>
      <c r="N57" s="36"/>
      <c r="O57" s="32"/>
      <c r="P57" s="108"/>
      <c r="Q57" s="67">
        <v>-0.1</v>
      </c>
      <c r="R57" s="68">
        <v>0.1</v>
      </c>
      <c r="S57" s="73">
        <v>-0.1</v>
      </c>
      <c r="T57" s="74">
        <v>0.1</v>
      </c>
      <c r="U57" s="79">
        <v>-0.1</v>
      </c>
      <c r="V57" s="35">
        <v>0.1</v>
      </c>
    </row>
    <row r="58" spans="5:24" ht="13.5" thickBot="1" x14ac:dyDescent="0.25">
      <c r="E58" s="36"/>
      <c r="F58" s="32"/>
      <c r="G58" s="55"/>
      <c r="H58" s="82" t="s">
        <v>63</v>
      </c>
      <c r="I58" s="83" t="s">
        <v>64</v>
      </c>
      <c r="J58" s="86" t="s">
        <v>63</v>
      </c>
      <c r="K58" s="87" t="s">
        <v>64</v>
      </c>
      <c r="L58" s="84" t="s">
        <v>63</v>
      </c>
      <c r="M58" s="85" t="s">
        <v>64</v>
      </c>
      <c r="N58" s="36"/>
      <c r="O58" s="32"/>
      <c r="P58" s="109"/>
      <c r="Q58" s="69" t="s">
        <v>63</v>
      </c>
      <c r="R58" s="70" t="s">
        <v>64</v>
      </c>
      <c r="S58" s="75" t="s">
        <v>63</v>
      </c>
      <c r="T58" s="76" t="s">
        <v>64</v>
      </c>
      <c r="U58" s="80" t="s">
        <v>63</v>
      </c>
      <c r="V58" s="37" t="s">
        <v>64</v>
      </c>
    </row>
    <row r="59" spans="5:24" x14ac:dyDescent="0.2">
      <c r="E59" s="59" t="s">
        <v>45</v>
      </c>
      <c r="F59" s="60"/>
      <c r="G59" s="61">
        <v>42015</v>
      </c>
      <c r="H59" s="71"/>
      <c r="I59" s="72"/>
      <c r="J59" s="77"/>
      <c r="K59" s="78"/>
      <c r="L59" s="81"/>
      <c r="M59" s="43"/>
      <c r="N59" s="36"/>
      <c r="O59" s="32"/>
      <c r="P59" s="107"/>
      <c r="Q59" s="71"/>
      <c r="R59" s="72"/>
      <c r="S59" s="77"/>
      <c r="T59" s="78"/>
      <c r="U59" s="81"/>
      <c r="V59" s="43"/>
    </row>
    <row r="60" spans="5:24" x14ac:dyDescent="0.2">
      <c r="E60" s="38" t="s">
        <v>46</v>
      </c>
      <c r="F60" s="39" t="s">
        <v>56</v>
      </c>
      <c r="G60" s="56">
        <v>26.099999790999998</v>
      </c>
      <c r="H60" s="139">
        <f t="shared" ref="H60:M60" si="4">(H21-$G21)</f>
        <v>0</v>
      </c>
      <c r="I60" s="140">
        <f t="shared" si="4"/>
        <v>0</v>
      </c>
      <c r="J60" s="149">
        <f t="shared" si="4"/>
        <v>0</v>
      </c>
      <c r="K60" s="150">
        <f t="shared" si="4"/>
        <v>0</v>
      </c>
      <c r="L60" s="158">
        <f t="shared" si="4"/>
        <v>0</v>
      </c>
      <c r="M60" s="121">
        <f t="shared" si="4"/>
        <v>0</v>
      </c>
      <c r="N60" s="36"/>
      <c r="O60" s="32"/>
      <c r="P60" s="108" t="s">
        <v>70</v>
      </c>
      <c r="Q60" s="139">
        <f t="shared" ref="Q60:V60" si="5">(Q21-$G10)</f>
        <v>83.300000271700128</v>
      </c>
      <c r="R60" s="140">
        <f t="shared" si="5"/>
        <v>-83.300000271700014</v>
      </c>
      <c r="S60" s="149">
        <f t="shared" si="5"/>
        <v>0</v>
      </c>
      <c r="T60" s="150">
        <f t="shared" si="5"/>
        <v>0</v>
      </c>
      <c r="U60" s="158">
        <f t="shared" si="5"/>
        <v>0</v>
      </c>
      <c r="V60" s="121">
        <f t="shared" si="5"/>
        <v>0</v>
      </c>
    </row>
    <row r="61" spans="5:24" x14ac:dyDescent="0.2">
      <c r="E61" s="38" t="s">
        <v>47</v>
      </c>
      <c r="F61" s="39" t="s">
        <v>57</v>
      </c>
      <c r="G61" s="56">
        <v>74.400000019999993</v>
      </c>
      <c r="H61" s="139">
        <f t="shared" ref="H61:M61" si="6">(H22-$G22)</f>
        <v>0</v>
      </c>
      <c r="I61" s="140">
        <f t="shared" si="6"/>
        <v>0</v>
      </c>
      <c r="J61" s="149">
        <f t="shared" si="6"/>
        <v>0</v>
      </c>
      <c r="K61" s="150">
        <f t="shared" si="6"/>
        <v>0</v>
      </c>
      <c r="L61" s="158">
        <f t="shared" si="6"/>
        <v>0</v>
      </c>
      <c r="M61" s="121">
        <f t="shared" si="6"/>
        <v>0</v>
      </c>
      <c r="N61" s="36"/>
      <c r="O61" s="32"/>
      <c r="P61" s="108" t="s">
        <v>71</v>
      </c>
      <c r="Q61" s="139">
        <f t="shared" ref="Q61:V61" si="7">(Q22-$G11)</f>
        <v>0</v>
      </c>
      <c r="R61" s="140">
        <f t="shared" si="7"/>
        <v>0</v>
      </c>
      <c r="S61" s="149">
        <f t="shared" si="7"/>
        <v>-7.692000269999999E-2</v>
      </c>
      <c r="T61" s="150">
        <f t="shared" si="7"/>
        <v>7.6920002700000101E-2</v>
      </c>
      <c r="U61" s="158">
        <f t="shared" si="7"/>
        <v>0</v>
      </c>
      <c r="V61" s="121">
        <f t="shared" si="7"/>
        <v>0</v>
      </c>
    </row>
    <row r="62" spans="5:24" x14ac:dyDescent="0.2">
      <c r="E62" s="38" t="s">
        <v>48</v>
      </c>
      <c r="F62" s="39" t="s">
        <v>58</v>
      </c>
      <c r="G62" s="56">
        <v>98.300003051999994</v>
      </c>
      <c r="H62" s="137">
        <f t="shared" ref="H62:M62" si="8">(H23-$G23)</f>
        <v>4.197490922047777</v>
      </c>
      <c r="I62" s="138">
        <f t="shared" si="8"/>
        <v>-3.8436793091660917</v>
      </c>
      <c r="J62" s="151">
        <f t="shared" si="8"/>
        <v>-0.88309886530541348</v>
      </c>
      <c r="K62" s="152">
        <f t="shared" si="8"/>
        <v>0.73548410349111748</v>
      </c>
      <c r="L62" s="158">
        <f t="shared" si="8"/>
        <v>0</v>
      </c>
      <c r="M62" s="121">
        <f t="shared" si="8"/>
        <v>0</v>
      </c>
      <c r="N62" s="36"/>
      <c r="O62" s="32"/>
      <c r="P62" s="108" t="s">
        <v>72</v>
      </c>
      <c r="Q62" s="139">
        <f t="shared" ref="Q62:V62" si="9">(Q23-$G12)</f>
        <v>0</v>
      </c>
      <c r="R62" s="138">
        <f t="shared" si="9"/>
        <v>0</v>
      </c>
      <c r="S62" s="151">
        <f t="shared" si="9"/>
        <v>0</v>
      </c>
      <c r="T62" s="152">
        <f t="shared" si="9"/>
        <v>0</v>
      </c>
      <c r="U62" s="158">
        <f t="shared" si="9"/>
        <v>-2500</v>
      </c>
      <c r="V62" s="121">
        <f t="shared" si="9"/>
        <v>2500.0000000000036</v>
      </c>
    </row>
    <row r="63" spans="5:24" x14ac:dyDescent="0.2">
      <c r="E63" s="38" t="s">
        <v>49</v>
      </c>
      <c r="F63" s="39" t="s">
        <v>59</v>
      </c>
      <c r="G63" s="56">
        <v>2319.9999729219999</v>
      </c>
      <c r="H63" s="137">
        <f t="shared" ref="H63:M63" si="10">(H24-$G24)</f>
        <v>-150.48005355412442</v>
      </c>
      <c r="I63" s="138">
        <f t="shared" si="10"/>
        <v>150.48005355412442</v>
      </c>
      <c r="J63" s="151">
        <f t="shared" si="10"/>
        <v>-311.9039923912751</v>
      </c>
      <c r="K63" s="152">
        <f t="shared" si="10"/>
        <v>311.90399239127555</v>
      </c>
      <c r="L63" s="158">
        <f t="shared" si="10"/>
        <v>0</v>
      </c>
      <c r="M63" s="121">
        <f t="shared" si="10"/>
        <v>0</v>
      </c>
      <c r="N63" s="36"/>
      <c r="O63" s="32"/>
      <c r="P63" s="108"/>
      <c r="Q63" s="71"/>
      <c r="R63" s="72"/>
      <c r="S63" s="77"/>
      <c r="T63" s="78"/>
      <c r="U63" s="81"/>
      <c r="V63" s="43"/>
    </row>
    <row r="64" spans="5:24" x14ac:dyDescent="0.2">
      <c r="E64" s="38" t="s">
        <v>51</v>
      </c>
      <c r="F64" s="39" t="s">
        <v>60</v>
      </c>
      <c r="G64" s="56">
        <v>2179.999995703</v>
      </c>
      <c r="H64" s="139">
        <f t="shared" ref="H64:M64" si="11">(H25-$G25)</f>
        <v>0</v>
      </c>
      <c r="I64" s="140">
        <f t="shared" si="11"/>
        <v>0</v>
      </c>
      <c r="J64" s="149">
        <f t="shared" si="11"/>
        <v>0</v>
      </c>
      <c r="K64" s="150">
        <f t="shared" si="11"/>
        <v>0</v>
      </c>
      <c r="L64" s="158">
        <f t="shared" si="11"/>
        <v>0</v>
      </c>
      <c r="M64" s="121">
        <f t="shared" si="11"/>
        <v>0</v>
      </c>
      <c r="N64" s="36"/>
      <c r="O64" s="32"/>
      <c r="P64" s="108"/>
      <c r="Q64" s="71"/>
      <c r="R64" s="72"/>
      <c r="S64" s="77"/>
      <c r="T64" s="78"/>
      <c r="U64" s="81"/>
      <c r="V64" s="43"/>
    </row>
    <row r="65" spans="5:22" s="18" customFormat="1" x14ac:dyDescent="0.2">
      <c r="E65" s="38" t="s">
        <v>52</v>
      </c>
      <c r="F65" s="39" t="s">
        <v>56</v>
      </c>
      <c r="G65" s="56">
        <v>120.899998553</v>
      </c>
      <c r="H65" s="193">
        <f t="shared" ref="H65:M65" si="12">(H26-$G26)</f>
        <v>0</v>
      </c>
      <c r="I65" s="194">
        <f t="shared" si="12"/>
        <v>0</v>
      </c>
      <c r="J65" s="195">
        <f t="shared" si="12"/>
        <v>0</v>
      </c>
      <c r="K65" s="196">
        <f t="shared" si="12"/>
        <v>0</v>
      </c>
      <c r="L65" s="197">
        <f t="shared" si="12"/>
        <v>0</v>
      </c>
      <c r="M65" s="198">
        <f t="shared" si="12"/>
        <v>0</v>
      </c>
      <c r="N65" s="89"/>
      <c r="O65" s="90"/>
      <c r="P65" s="108"/>
      <c r="Q65" s="94"/>
      <c r="R65" s="95"/>
      <c r="S65" s="100"/>
      <c r="T65" s="101"/>
      <c r="U65" s="104"/>
      <c r="V65" s="91"/>
    </row>
    <row r="66" spans="5:22" x14ac:dyDescent="0.2">
      <c r="E66" s="38" t="s">
        <v>55</v>
      </c>
      <c r="F66" s="39" t="s">
        <v>56</v>
      </c>
      <c r="G66" s="56">
        <v>158.999994813</v>
      </c>
      <c r="H66" s="139">
        <f t="shared" ref="H66:M66" si="13">(H27-$G27)</f>
        <v>0</v>
      </c>
      <c r="I66" s="140">
        <f t="shared" si="13"/>
        <v>0</v>
      </c>
      <c r="J66" s="149">
        <f t="shared" si="13"/>
        <v>0</v>
      </c>
      <c r="K66" s="150">
        <f t="shared" si="13"/>
        <v>0</v>
      </c>
      <c r="L66" s="158">
        <f t="shared" si="13"/>
        <v>0</v>
      </c>
      <c r="M66" s="121">
        <f t="shared" si="13"/>
        <v>0</v>
      </c>
      <c r="N66" s="36"/>
      <c r="O66" s="32"/>
      <c r="P66" s="108"/>
      <c r="Q66" s="71"/>
      <c r="R66" s="72"/>
      <c r="S66" s="77"/>
      <c r="T66" s="78"/>
      <c r="U66" s="81"/>
      <c r="V66" s="43"/>
    </row>
    <row r="67" spans="5:22" x14ac:dyDescent="0.2">
      <c r="E67" s="38" t="s">
        <v>1</v>
      </c>
      <c r="F67" s="39" t="s">
        <v>61</v>
      </c>
      <c r="G67" s="56">
        <v>4069.100013281</v>
      </c>
      <c r="H67" s="139">
        <f t="shared" ref="H67:M67" si="14">(H28-$G28)</f>
        <v>318.19999975600001</v>
      </c>
      <c r="I67" s="140">
        <f t="shared" si="14"/>
        <v>-106.06666658533334</v>
      </c>
      <c r="J67" s="149">
        <f t="shared" si="14"/>
        <v>0</v>
      </c>
      <c r="K67" s="150">
        <f t="shared" si="14"/>
        <v>0</v>
      </c>
      <c r="L67" s="199">
        <f t="shared" si="14"/>
        <v>87.719270212462106</v>
      </c>
      <c r="M67" s="200">
        <f t="shared" si="14"/>
        <v>-43.85963510623111</v>
      </c>
      <c r="N67" s="36"/>
      <c r="O67" s="32"/>
      <c r="P67" s="108"/>
      <c r="Q67" s="71"/>
      <c r="R67" s="72"/>
      <c r="S67" s="77"/>
      <c r="T67" s="78"/>
      <c r="U67" s="81"/>
      <c r="V67" s="43"/>
    </row>
    <row r="68" spans="5:22" x14ac:dyDescent="0.2">
      <c r="E68" s="38" t="s">
        <v>53</v>
      </c>
      <c r="F68" s="39" t="s">
        <v>61</v>
      </c>
      <c r="G68" s="56">
        <v>0</v>
      </c>
      <c r="H68" s="139">
        <f t="shared" ref="H68:M68" si="15">(H29-$G29)</f>
        <v>0</v>
      </c>
      <c r="I68" s="140">
        <f t="shared" si="15"/>
        <v>0</v>
      </c>
      <c r="J68" s="149">
        <f t="shared" si="15"/>
        <v>0</v>
      </c>
      <c r="K68" s="150">
        <f t="shared" si="15"/>
        <v>0</v>
      </c>
      <c r="L68" s="158">
        <f t="shared" si="15"/>
        <v>0</v>
      </c>
      <c r="M68" s="121">
        <f t="shared" si="15"/>
        <v>0</v>
      </c>
      <c r="N68" s="36"/>
      <c r="O68" s="32"/>
      <c r="P68" s="108"/>
      <c r="Q68" s="71"/>
      <c r="R68" s="72"/>
      <c r="S68" s="77"/>
      <c r="T68" s="78"/>
      <c r="U68" s="81"/>
      <c r="V68" s="43"/>
    </row>
    <row r="69" spans="5:22" x14ac:dyDescent="0.2">
      <c r="E69" s="38" t="s">
        <v>54</v>
      </c>
      <c r="F69" s="39" t="s">
        <v>62</v>
      </c>
      <c r="G69" s="56">
        <v>153.999998874</v>
      </c>
      <c r="H69" s="139">
        <f t="shared" ref="H69:M69" si="16">(H30-$G30)</f>
        <v>0</v>
      </c>
      <c r="I69" s="140">
        <f t="shared" si="16"/>
        <v>0</v>
      </c>
      <c r="J69" s="149">
        <f t="shared" si="16"/>
        <v>0</v>
      </c>
      <c r="K69" s="150">
        <f t="shared" si="16"/>
        <v>0</v>
      </c>
      <c r="L69" s="199">
        <f t="shared" si="16"/>
        <v>-26.400000958599989</v>
      </c>
      <c r="M69" s="200">
        <f t="shared" si="16"/>
        <v>13.200000479300002</v>
      </c>
      <c r="N69" s="36"/>
      <c r="O69" s="32"/>
      <c r="P69" s="108"/>
      <c r="Q69" s="96"/>
      <c r="R69" s="97"/>
      <c r="S69" s="77"/>
      <c r="T69" s="78"/>
      <c r="U69" s="81"/>
      <c r="V69" s="43"/>
    </row>
    <row r="70" spans="5:22" x14ac:dyDescent="0.2">
      <c r="E70" s="38" t="s">
        <v>50</v>
      </c>
      <c r="F70" s="39" t="s">
        <v>60</v>
      </c>
      <c r="G70" s="56">
        <v>1636.999986328</v>
      </c>
      <c r="H70" s="139">
        <f t="shared" ref="H70:M70" si="17">(H31-$G31)</f>
        <v>0</v>
      </c>
      <c r="I70" s="140">
        <f t="shared" si="17"/>
        <v>0</v>
      </c>
      <c r="J70" s="149">
        <f t="shared" si="17"/>
        <v>0</v>
      </c>
      <c r="K70" s="150">
        <f t="shared" si="17"/>
        <v>0</v>
      </c>
      <c r="L70" s="158">
        <f t="shared" si="17"/>
        <v>0</v>
      </c>
      <c r="M70" s="121">
        <f t="shared" si="17"/>
        <v>0</v>
      </c>
      <c r="N70" s="36"/>
      <c r="O70" s="32"/>
      <c r="P70" s="108"/>
      <c r="Q70" s="96"/>
      <c r="R70" s="97"/>
      <c r="S70" s="77"/>
      <c r="T70" s="78"/>
      <c r="U70" s="81"/>
      <c r="V70" s="43"/>
    </row>
    <row r="71" spans="5:22" x14ac:dyDescent="0.2">
      <c r="E71" s="38"/>
      <c r="F71" s="39"/>
      <c r="G71" s="57"/>
      <c r="H71" s="139">
        <f t="shared" ref="H71:M71" si="18">(H32-$G32)</f>
        <v>0</v>
      </c>
      <c r="I71" s="140">
        <f t="shared" si="18"/>
        <v>0</v>
      </c>
      <c r="J71" s="149">
        <f t="shared" si="18"/>
        <v>0</v>
      </c>
      <c r="K71" s="150">
        <f t="shared" si="18"/>
        <v>0</v>
      </c>
      <c r="L71" s="158">
        <f t="shared" si="18"/>
        <v>0</v>
      </c>
      <c r="M71" s="121">
        <f t="shared" si="18"/>
        <v>0</v>
      </c>
      <c r="N71" s="36"/>
      <c r="O71" s="32"/>
      <c r="P71" s="108"/>
      <c r="Q71" s="96"/>
      <c r="R71" s="97"/>
      <c r="S71" s="77"/>
      <c r="T71" s="78"/>
      <c r="U71" s="81"/>
      <c r="V71" s="43"/>
    </row>
    <row r="72" spans="5:22" x14ac:dyDescent="0.2">
      <c r="E72" s="38" t="s">
        <v>65</v>
      </c>
      <c r="F72" s="39" t="s">
        <v>59</v>
      </c>
      <c r="G72" s="58">
        <f>G63-G74</f>
        <v>39.439928733274883</v>
      </c>
      <c r="H72" s="137">
        <f t="shared" ref="H72:M72" si="19">(H33-$G33)</f>
        <v>-150.4800535541242</v>
      </c>
      <c r="I72" s="138">
        <f t="shared" si="19"/>
        <v>150.4800535541242</v>
      </c>
      <c r="J72" s="149">
        <f t="shared" si="19"/>
        <v>0</v>
      </c>
      <c r="K72" s="150">
        <f t="shared" si="19"/>
        <v>0</v>
      </c>
      <c r="L72" s="158">
        <f t="shared" si="19"/>
        <v>0</v>
      </c>
      <c r="M72" s="121">
        <f t="shared" si="19"/>
        <v>0</v>
      </c>
      <c r="N72" s="36"/>
      <c r="O72" s="32"/>
      <c r="P72" s="108"/>
      <c r="Q72" s="96"/>
      <c r="R72" s="97"/>
      <c r="S72" s="77"/>
      <c r="T72" s="78"/>
      <c r="U72" s="81"/>
      <c r="V72" s="43"/>
    </row>
    <row r="73" spans="5:22" x14ac:dyDescent="0.2">
      <c r="E73" s="38" t="s">
        <v>67</v>
      </c>
      <c r="F73" s="39" t="s">
        <v>59</v>
      </c>
      <c r="G73" s="58">
        <f>G72*SUM(G67,G68)</f>
        <v>160485.01453237052</v>
      </c>
      <c r="H73" s="139">
        <f t="shared" ref="H73:M73" si="20">(H34-$G34)</f>
        <v>0</v>
      </c>
      <c r="I73" s="140">
        <f t="shared" si="20"/>
        <v>0</v>
      </c>
      <c r="J73" s="149">
        <f t="shared" si="20"/>
        <v>0</v>
      </c>
      <c r="K73" s="150">
        <f t="shared" si="20"/>
        <v>0</v>
      </c>
      <c r="L73" s="158">
        <f t="shared" si="20"/>
        <v>26400.00095859998</v>
      </c>
      <c r="M73" s="121">
        <f t="shared" si="20"/>
        <v>-13200.000479299997</v>
      </c>
      <c r="N73" s="36"/>
      <c r="O73" s="32"/>
      <c r="P73" s="108"/>
      <c r="Q73" s="96"/>
      <c r="R73" s="97"/>
      <c r="S73" s="77"/>
      <c r="T73" s="78"/>
      <c r="U73" s="81"/>
      <c r="V73" s="43"/>
    </row>
    <row r="74" spans="5:22" x14ac:dyDescent="0.2">
      <c r="E74" s="38" t="s">
        <v>66</v>
      </c>
      <c r="F74" s="39" t="s">
        <v>59</v>
      </c>
      <c r="G74" s="58">
        <f>G63*G62/100</f>
        <v>2280.560044188725</v>
      </c>
      <c r="H74" s="137">
        <f t="shared" ref="H74:M74" si="21">(H35-$G35)</f>
        <v>0</v>
      </c>
      <c r="I74" s="138">
        <f t="shared" si="21"/>
        <v>0</v>
      </c>
      <c r="J74" s="151">
        <f t="shared" si="21"/>
        <v>-311.9039923912751</v>
      </c>
      <c r="K74" s="152">
        <f t="shared" si="21"/>
        <v>311.90399239127555</v>
      </c>
      <c r="L74" s="158">
        <f t="shared" si="21"/>
        <v>0</v>
      </c>
      <c r="M74" s="121">
        <f t="shared" si="21"/>
        <v>0</v>
      </c>
      <c r="N74" s="36"/>
      <c r="O74" s="32"/>
      <c r="P74" s="108"/>
      <c r="Q74" s="96"/>
      <c r="R74" s="97"/>
      <c r="S74" s="77"/>
      <c r="T74" s="78"/>
      <c r="U74" s="81"/>
      <c r="V74" s="43"/>
    </row>
    <row r="75" spans="5:22" ht="13.5" thickBot="1" x14ac:dyDescent="0.25">
      <c r="E75" s="47" t="s">
        <v>81</v>
      </c>
      <c r="F75" s="48" t="s">
        <v>59</v>
      </c>
      <c r="G75" s="62">
        <f>G73+G69*1000</f>
        <v>314485.01340637053</v>
      </c>
      <c r="H75" s="141">
        <f t="shared" ref="H75:M75" si="22">(H36-$G36)</f>
        <v>0</v>
      </c>
      <c r="I75" s="142">
        <f t="shared" si="22"/>
        <v>0</v>
      </c>
      <c r="J75" s="153">
        <f t="shared" si="22"/>
        <v>0</v>
      </c>
      <c r="K75" s="154">
        <f t="shared" si="22"/>
        <v>0</v>
      </c>
      <c r="L75" s="159">
        <f t="shared" si="22"/>
        <v>0</v>
      </c>
      <c r="M75" s="126">
        <f t="shared" si="22"/>
        <v>0</v>
      </c>
      <c r="N75" s="36"/>
      <c r="O75" s="32"/>
      <c r="P75" s="109"/>
      <c r="Q75" s="98"/>
      <c r="R75" s="99"/>
      <c r="S75" s="102"/>
      <c r="T75" s="103"/>
      <c r="U75" s="105"/>
      <c r="V75" s="106"/>
    </row>
    <row r="76" spans="5:22" x14ac:dyDescent="0.2">
      <c r="E76" s="38"/>
      <c r="F76" s="39"/>
      <c r="G76" s="57"/>
      <c r="H76" s="40"/>
      <c r="I76" s="40"/>
      <c r="J76" s="41"/>
      <c r="K76" s="41"/>
      <c r="L76" s="42"/>
      <c r="M76" s="43"/>
      <c r="N76" s="36"/>
      <c r="O76" s="32"/>
      <c r="P76" s="39"/>
      <c r="Q76" s="40"/>
      <c r="R76" s="40"/>
      <c r="S76" s="41"/>
      <c r="T76" s="41"/>
      <c r="U76" s="42"/>
      <c r="V76" s="43"/>
    </row>
    <row r="77" spans="5:22" ht="13.5" thickBot="1" x14ac:dyDescent="0.25">
      <c r="E77" s="38"/>
      <c r="F77" s="39"/>
      <c r="G77" s="57"/>
      <c r="H77" s="40"/>
      <c r="I77" s="40"/>
      <c r="J77" s="41"/>
      <c r="K77" s="41"/>
      <c r="L77" s="42"/>
      <c r="M77" s="43"/>
      <c r="N77" s="36"/>
      <c r="O77" s="32"/>
      <c r="P77" s="39"/>
      <c r="Q77" s="40"/>
      <c r="R77" s="40"/>
      <c r="S77" s="41"/>
      <c r="T77" s="41"/>
      <c r="U77" s="42"/>
      <c r="V77" s="43"/>
    </row>
    <row r="78" spans="5:22" x14ac:dyDescent="0.2">
      <c r="E78" s="59" t="s">
        <v>77</v>
      </c>
      <c r="F78" s="60"/>
      <c r="G78" s="60"/>
      <c r="H78" s="63"/>
      <c r="I78" s="63"/>
      <c r="J78" s="64"/>
      <c r="K78" s="64"/>
      <c r="L78" s="65"/>
      <c r="M78" s="66"/>
      <c r="N78" s="36"/>
      <c r="O78" s="32"/>
      <c r="P78" s="59" t="s">
        <v>77</v>
      </c>
      <c r="Q78" s="63"/>
      <c r="R78" s="63"/>
      <c r="S78" s="64"/>
      <c r="T78" s="64"/>
      <c r="U78" s="65"/>
      <c r="V78" s="66"/>
    </row>
    <row r="79" spans="5:22" x14ac:dyDescent="0.2">
      <c r="E79" s="38" t="s">
        <v>78</v>
      </c>
      <c r="F79" s="39"/>
      <c r="G79" s="44"/>
      <c r="H79" s="122"/>
      <c r="I79" s="122"/>
      <c r="J79" s="119"/>
      <c r="K79" s="119"/>
      <c r="L79" s="120"/>
      <c r="M79" s="121"/>
      <c r="N79" s="36"/>
      <c r="O79" s="32"/>
      <c r="P79" s="38" t="s">
        <v>78</v>
      </c>
      <c r="Q79" s="122"/>
      <c r="R79" s="122"/>
      <c r="S79" s="119"/>
      <c r="T79" s="119"/>
      <c r="U79" s="120"/>
      <c r="V79" s="121"/>
    </row>
    <row r="80" spans="5:22" x14ac:dyDescent="0.2">
      <c r="E80" s="38" t="s">
        <v>24</v>
      </c>
      <c r="F80" s="39"/>
      <c r="G80" s="45">
        <f>G$26-G41</f>
        <v>-9.2932604910000123</v>
      </c>
      <c r="H80" s="122">
        <f t="shared" ref="H80:M80" si="23">H$26-H41</f>
        <v>-5.2358070940000232</v>
      </c>
      <c r="I80" s="122">
        <f t="shared" si="23"/>
        <v>-13.691815832000003</v>
      </c>
      <c r="J80" s="119">
        <f t="shared" si="23"/>
        <v>-0.39629703100001734</v>
      </c>
      <c r="K80" s="119">
        <f t="shared" si="23"/>
        <v>-17.833214915000013</v>
      </c>
      <c r="L80" s="120">
        <f t="shared" si="23"/>
        <v>-9.1664750670000217</v>
      </c>
      <c r="M80" s="121">
        <f t="shared" si="23"/>
        <v>-9.5085364860000254</v>
      </c>
      <c r="N80" s="36"/>
      <c r="O80" s="32"/>
      <c r="P80" s="38" t="s">
        <v>24</v>
      </c>
      <c r="Q80" s="122">
        <f t="shared" ref="Q80:V80" si="24">H$26-Q41</f>
        <v>-10.195201091000001</v>
      </c>
      <c r="R80" s="122">
        <f t="shared" si="24"/>
        <v>-12.041316043000023</v>
      </c>
      <c r="S80" s="119">
        <f t="shared" si="24"/>
        <v>-7.8621102600000086</v>
      </c>
      <c r="T80" s="119">
        <f t="shared" si="24"/>
        <v>-10.936858790000002</v>
      </c>
      <c r="U80" s="120">
        <f t="shared" si="24"/>
        <v>-9.0099459040000056</v>
      </c>
      <c r="V80" s="121">
        <f t="shared" si="24"/>
        <v>-9.7273810550000235</v>
      </c>
    </row>
    <row r="81" spans="5:22" x14ac:dyDescent="0.2">
      <c r="E81" s="38" t="s">
        <v>80</v>
      </c>
      <c r="F81" s="39"/>
      <c r="G81" s="46">
        <f t="shared" ref="G81:M81" si="25">G$26-G42</f>
        <v>-36.985725423000019</v>
      </c>
      <c r="H81" s="122">
        <f t="shared" si="25"/>
        <v>-35.733054460000005</v>
      </c>
      <c r="I81" s="122">
        <f t="shared" si="25"/>
        <v>-38.346581452999999</v>
      </c>
      <c r="J81" s="119">
        <f t="shared" si="25"/>
        <v>-33.37966314800002</v>
      </c>
      <c r="K81" s="119">
        <f t="shared" si="25"/>
        <v>-40.475775332000012</v>
      </c>
      <c r="L81" s="120">
        <f t="shared" si="25"/>
        <v>-36.484845567000008</v>
      </c>
      <c r="M81" s="121">
        <f t="shared" si="25"/>
        <v>-37.242561855000019</v>
      </c>
      <c r="N81" s="36"/>
      <c r="O81" s="32"/>
      <c r="P81" s="38" t="s">
        <v>80</v>
      </c>
      <c r="Q81" s="122">
        <f t="shared" ref="Q81:V81" si="26">H$26-Q42</f>
        <v>-37.314909671000009</v>
      </c>
      <c r="R81" s="122">
        <f t="shared" si="26"/>
        <v>-37.900863019000013</v>
      </c>
      <c r="S81" s="119">
        <f t="shared" si="26"/>
        <v>-36.849160083000015</v>
      </c>
      <c r="T81" s="119">
        <f t="shared" si="26"/>
        <v>-37.144055707000007</v>
      </c>
      <c r="U81" s="120">
        <f t="shared" si="26"/>
        <v>-36.680746890000023</v>
      </c>
      <c r="V81" s="121">
        <f t="shared" si="26"/>
        <v>-37.290670291000026</v>
      </c>
    </row>
    <row r="82" spans="5:22" ht="13.5" thickBot="1" x14ac:dyDescent="0.25">
      <c r="E82" s="47" t="s">
        <v>79</v>
      </c>
      <c r="F82" s="48"/>
      <c r="G82" s="49">
        <f t="shared" ref="G82:M82" si="27">G$26-G43</f>
        <v>9.1977169359999777</v>
      </c>
      <c r="H82" s="123">
        <f t="shared" si="27"/>
        <v>13.510845293999978</v>
      </c>
      <c r="I82" s="123">
        <f t="shared" si="27"/>
        <v>4.9512637049999739</v>
      </c>
      <c r="J82" s="124">
        <f t="shared" si="27"/>
        <v>17.662192622999981</v>
      </c>
      <c r="K82" s="124">
        <f t="shared" si="27"/>
        <v>1.353853541999996</v>
      </c>
      <c r="L82" s="125">
        <f t="shared" si="27"/>
        <v>9.8081284909999908</v>
      </c>
      <c r="M82" s="126">
        <f t="shared" si="27"/>
        <v>8.8577091309999787</v>
      </c>
      <c r="N82" s="92"/>
      <c r="O82" s="93"/>
      <c r="P82" s="47" t="s">
        <v>79</v>
      </c>
      <c r="Q82" s="123">
        <f t="shared" ref="Q82:V82" si="28">H$26-Q43</f>
        <v>9.6270569550000005</v>
      </c>
      <c r="R82" s="123">
        <f t="shared" si="28"/>
        <v>6.1680469189999769</v>
      </c>
      <c r="S82" s="124">
        <f t="shared" si="28"/>
        <v>10.729292265999987</v>
      </c>
      <c r="T82" s="124">
        <f t="shared" si="28"/>
        <v>7.5831048959999805</v>
      </c>
      <c r="U82" s="125">
        <f t="shared" si="28"/>
        <v>9.4541662099999826</v>
      </c>
      <c r="V82" s="126">
        <f t="shared" si="28"/>
        <v>8.9411498309999899</v>
      </c>
    </row>
    <row r="83" spans="5:22" x14ac:dyDescent="0.2">
      <c r="E83" s="17"/>
      <c r="F83" s="17"/>
      <c r="G83" s="23"/>
      <c r="H83" s="22"/>
      <c r="I83" s="22"/>
      <c r="J83" s="22"/>
      <c r="K83" s="22"/>
      <c r="L83" s="22"/>
      <c r="M83" s="22"/>
      <c r="N83" s="16"/>
      <c r="O83" s="16"/>
      <c r="P83" s="202"/>
      <c r="Q83" s="22"/>
      <c r="R83" s="22"/>
      <c r="S83" s="22"/>
      <c r="T83" s="22"/>
      <c r="U83" s="22"/>
      <c r="V83" s="22"/>
    </row>
    <row r="84" spans="5:22" x14ac:dyDescent="0.2">
      <c r="E84" s="17"/>
      <c r="F84" s="17"/>
      <c r="G84" s="23"/>
      <c r="H84" s="22"/>
      <c r="I84" s="22"/>
      <c r="J84" s="22"/>
      <c r="K84" s="22"/>
      <c r="L84" s="22"/>
      <c r="M84" s="22"/>
      <c r="N84" s="16"/>
      <c r="O84" s="16"/>
      <c r="P84" s="202"/>
      <c r="Q84" s="22"/>
      <c r="R84" s="22"/>
      <c r="S84" s="22"/>
      <c r="T84" s="22"/>
      <c r="U84" s="22"/>
      <c r="V84" s="22"/>
    </row>
    <row r="85" spans="5:22" x14ac:dyDescent="0.2">
      <c r="E85" s="17"/>
      <c r="F85" s="17"/>
      <c r="G85" s="23"/>
      <c r="H85" s="22"/>
      <c r="I85" s="22"/>
      <c r="J85" s="22"/>
      <c r="K85" s="22"/>
      <c r="L85" s="22"/>
      <c r="M85" s="22"/>
      <c r="N85" s="16"/>
      <c r="O85" s="16"/>
      <c r="P85" s="202"/>
      <c r="Q85" s="22"/>
      <c r="R85" s="22"/>
      <c r="S85" s="22"/>
      <c r="T85" s="22"/>
      <c r="U85" s="22"/>
      <c r="V85" s="22"/>
    </row>
    <row r="86" spans="5:22" x14ac:dyDescent="0.2">
      <c r="E86" s="17"/>
      <c r="F86" s="17"/>
      <c r="G86" s="23"/>
      <c r="H86" s="22"/>
      <c r="I86" s="22"/>
      <c r="J86" s="22"/>
      <c r="K86" s="22"/>
      <c r="L86" s="22"/>
      <c r="M86" s="22"/>
      <c r="N86" s="16"/>
      <c r="O86" s="16"/>
      <c r="P86" s="202"/>
      <c r="Q86" s="22"/>
      <c r="R86" s="22"/>
      <c r="S86" s="22"/>
      <c r="T86" s="22"/>
      <c r="U86" s="22"/>
      <c r="V86" s="22"/>
    </row>
    <row r="87" spans="5:22" x14ac:dyDescent="0.2">
      <c r="E87" s="17"/>
      <c r="F87" s="17"/>
      <c r="G87" s="23"/>
      <c r="H87" s="22"/>
      <c r="I87" s="22"/>
      <c r="J87" s="22"/>
      <c r="K87" s="22"/>
      <c r="L87" s="22"/>
      <c r="M87" s="22"/>
      <c r="N87" s="16"/>
      <c r="O87" s="16"/>
      <c r="P87" s="202"/>
      <c r="Q87" s="22"/>
      <c r="R87" s="22"/>
      <c r="S87" s="22"/>
      <c r="T87" s="22"/>
      <c r="U87" s="22"/>
      <c r="V87" s="22"/>
    </row>
    <row r="88" spans="5:22" x14ac:dyDescent="0.2">
      <c r="E88" s="17"/>
      <c r="F88" s="17"/>
      <c r="G88" s="23"/>
      <c r="H88" s="22"/>
      <c r="I88" s="22"/>
      <c r="J88" s="22"/>
      <c r="K88" s="22"/>
      <c r="L88" s="22"/>
      <c r="M88" s="22"/>
      <c r="N88" s="16"/>
      <c r="O88" s="16"/>
      <c r="P88" s="202"/>
      <c r="Q88" s="22"/>
      <c r="R88" s="22"/>
      <c r="S88" s="22"/>
      <c r="T88" s="22"/>
      <c r="U88" s="22"/>
      <c r="V88" s="22"/>
    </row>
    <row r="89" spans="5:22" x14ac:dyDescent="0.2">
      <c r="E89" s="17"/>
      <c r="F89" s="17"/>
      <c r="G89" s="23"/>
      <c r="H89" s="22"/>
      <c r="I89" s="22"/>
      <c r="J89" s="22"/>
      <c r="K89" s="22"/>
      <c r="L89" s="22"/>
      <c r="M89" s="22"/>
      <c r="N89" s="16"/>
      <c r="O89" s="16"/>
      <c r="P89" s="202"/>
      <c r="Q89" s="22"/>
      <c r="R89" s="22"/>
      <c r="S89" s="22"/>
      <c r="T89" s="22"/>
      <c r="U89" s="22"/>
      <c r="V89" s="22"/>
    </row>
    <row r="90" spans="5:22" x14ac:dyDescent="0.2">
      <c r="E90" s="17"/>
      <c r="F90" s="17"/>
      <c r="G90" s="23"/>
      <c r="H90" s="22"/>
      <c r="I90" s="22"/>
      <c r="J90" s="22"/>
      <c r="K90" s="22"/>
      <c r="L90" s="22"/>
      <c r="M90" s="22"/>
      <c r="N90" s="16"/>
      <c r="O90" s="16"/>
      <c r="P90" s="202"/>
      <c r="Q90" s="22"/>
      <c r="R90" s="22"/>
      <c r="S90" s="22"/>
      <c r="T90" s="22"/>
      <c r="U90" s="22"/>
      <c r="V90" s="22"/>
    </row>
    <row r="91" spans="5:22" x14ac:dyDescent="0.2">
      <c r="E91" s="17"/>
      <c r="F91" s="17"/>
      <c r="G91" s="23"/>
      <c r="H91" s="22"/>
      <c r="I91" s="22"/>
      <c r="J91" s="22"/>
      <c r="K91" s="22"/>
      <c r="L91" s="22"/>
      <c r="M91" s="22"/>
      <c r="N91" s="16"/>
      <c r="O91" s="16"/>
      <c r="P91" s="202"/>
      <c r="Q91" s="22"/>
      <c r="R91" s="22"/>
      <c r="S91" s="22"/>
      <c r="T91" s="22"/>
      <c r="U91" s="22"/>
      <c r="V91" s="22"/>
    </row>
    <row r="92" spans="5:22" x14ac:dyDescent="0.2">
      <c r="E92" s="17"/>
      <c r="F92" s="17"/>
      <c r="G92" s="23"/>
      <c r="H92" s="22"/>
      <c r="I92" s="22"/>
      <c r="J92" s="22"/>
      <c r="K92" s="22"/>
      <c r="L92" s="22"/>
      <c r="M92" s="22"/>
      <c r="N92" s="16"/>
      <c r="O92" s="16"/>
      <c r="P92" s="202"/>
      <c r="Q92" s="22"/>
      <c r="R92" s="22"/>
      <c r="S92" s="22"/>
      <c r="T92" s="22"/>
      <c r="U92" s="22"/>
      <c r="V92" s="22"/>
    </row>
  </sheetData>
  <mergeCells count="13">
    <mergeCell ref="E56:F57"/>
    <mergeCell ref="H17:I17"/>
    <mergeCell ref="J17:K17"/>
    <mergeCell ref="L17:M17"/>
    <mergeCell ref="Q17:R17"/>
    <mergeCell ref="U17:V17"/>
    <mergeCell ref="H56:I56"/>
    <mergeCell ref="J56:K56"/>
    <mergeCell ref="L56:M56"/>
    <mergeCell ref="Q56:R56"/>
    <mergeCell ref="S56:T56"/>
    <mergeCell ref="U56:V56"/>
    <mergeCell ref="S17:T17"/>
  </mergeCells>
  <pageMargins left="0.7" right="0.7" top="0.75" bottom="0.75" header="0.3" footer="0.3"/>
  <pageSetup paperSize="0"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Receiver>
    <Name>Microsoft.Office.RecordsManagement.PolicyFeatures.ExpirationEventReceiver</Name>
    <Synchronization>Synchronous</Synchronization>
    <Type>10001</Type>
    <SequenceNumber>101</SequenceNumber>
    <Assembly>Microsoft.Office.Policy, Version=14.0.0.0, Culture=neutral, PublicKeyToken=71e9bce111e9429c</Assembly>
    <Class>Microsoft.Office.RecordsManagement.Internal.UpdateExpireDate</Class>
    <Data/>
    <Filter/>
  </Receiver>
  <Receiver>
    <Name>Microsoft.Office.RecordsManagement.PolicyFeatures.ExpirationEventReceiver</Name>
    <Synchronization>Synchronous</Synchronization>
    <Type>10002</Type>
    <SequenceNumber>102</SequenceNumber>
    <Assembly>Microsoft.Office.Policy, Version=14.0.0.0, Culture=neutral, PublicKeyToken=71e9bce111e9429c</Assembly>
    <Class>Microsoft.Office.RecordsManagement.Internal.UpdateExpireDate</Class>
    <Data/>
    <Filter/>
  </Receiver>
  <Receiver>
    <Name>Microsoft.Office.RecordsManagement.PolicyFeatures.ExpirationEventReceiver</Name>
    <Synchronization>Synchronous</Synchronization>
    <Type>10004</Type>
    <SequenceNumber>103</SequenceNumber>
    <Assembly>Microsoft.Office.Policy, Version=14.0.0.0, Culture=neutral, PublicKeyToken=71e9bce111e9429c</Assembly>
    <Class>Microsoft.Office.RecordsManagement.Internal.UpdateExpireDate</Class>
    <Data/>
    <Filter/>
  </Receiver>
  <Receiver>
    <Name>Microsoft.Office.RecordsManagement.PolicyFeatures.ExpirationEventReceiver</Name>
    <Synchronization>Synchronous</Synchronization>
    <Type>10006</Type>
    <SequenceNumber>104</SequenceNumber>
    <Assembly>Microsoft.Office.Policy, Version=14.0.0.0, Culture=neutral, PublicKeyToken=71e9bce111e9429c</Assembly>
    <Class>Microsoft.Office.RecordsManagement.Internal.UpdateExpireDate</Class>
    <Data/>
    <Filter/>
  </Receiver>
  <Receiver>
    <Name>Microsoft.Office.RecordsManagement.PolicyFeatures.ExpirationEventReceiver</Name>
    <Synchronization>Synchronous</Synchronization>
    <Type>10009</Type>
    <SequenceNumber>105</SequenceNumber>
    <Assembly>Microsoft.Office.Policy, Version=14.0.0.0, Culture=neutral, PublicKeyToken=71e9bce111e9429c</Assembly>
    <Class>Microsoft.Office.RecordsManagement.Internal.UpdateExpireDate</Class>
    <Data/>
    <Filter/>
  </Receiver>
  <Receiver>
    <Name>PolicyForHeaderAndFooter</Name>
    <Synchronization>Synchronous</Synchronization>
    <Type>10001</Type>
    <SequenceNumber>1000</SequenceNumber>
    <Assembly>Ncas.Collaboration.CustomPolicy, Version=1.0.0.0, Culture=neutral, PublicKeyToken=adb52bf0495cf7ab</Assembly>
    <Class> Ncas.Collaboration.CustomPolicy.CheckInPolicy.ApplyPolicyToDocument</Class>
    <Data/>
    <Filter/>
  </Receiver>
  <Receiver>
    <Name>PolicyForHeaderAndFooter</Name>
    <Synchronization>Synchronous</Synchronization>
    <Type>10002</Type>
    <SequenceNumber>1000</SequenceNumber>
    <Assembly>Ncas.Collaboration.CustomPolicy, Version=1.0.0.0, Culture=neutral, PublicKeyToken=adb52bf0495cf7ab</Assembly>
    <Class> Ncas.Collaboration.CustomPolicy.CheckInPolicy.ApplyPolicyToDocument</Class>
    <Data/>
    <Filter/>
  </Receiver>
</spe:Receivers>
</file>

<file path=customXml/item2.xml><?xml version="1.0" encoding="utf-8"?>
<?mso-contentType ?>
<SharedContentType xmlns="Microsoft.SharePoint.Taxonomy.ContentTypeSync" SourceId="cda95b1f-d928-4d6d-948e-61bff6dae232" ContentTypeId="0x010100F7AC974578254811A4E2A32DB0F95ACD0B" PreviousValue="false"/>
</file>

<file path=customXml/item3.xml><?xml version="1.0" encoding="utf-8"?>
<p:properties xmlns:p="http://schemas.microsoft.com/office/2006/metadata/properties" xmlns:xsi="http://www.w3.org/2001/XMLSchema-instance" xmlns:pc="http://schemas.microsoft.com/office/infopath/2007/PartnerControls">
  <documentManagement>
    <TaxCatchAll xmlns="b17ea744-38d1-4a71-9f69-726aa276fcfa">
      <Value>1</Value>
      <Value>3</Value>
      <Value>12</Value>
    </TaxCatchAll>
    <ProcessTaxHTField0 xmlns="b17ea744-38d1-4a71-9f69-726aa276fcfa">
      <Terms xmlns="http://schemas.microsoft.com/office/infopath/2007/PartnerControls">
        <TermInfo xmlns="http://schemas.microsoft.com/office/infopath/2007/PartnerControls">
          <TermName xmlns="http://schemas.microsoft.com/office/infopath/2007/PartnerControls">Petroleum technology (PETEC)</TermName>
          <TermId xmlns="http://schemas.microsoft.com/office/infopath/2007/PartnerControls">73849877-4db7-4026-891d-4171b458f2df</TermId>
        </TermInfo>
      </Terms>
    </ProcessTaxHTField0>
    <IconOverlay xmlns="http://schemas.microsoft.com/sharepoint/v4" xsi:nil="true"/>
    <OrganisationTaxHTField0 xmlns="b17ea744-38d1-4a71-9f69-726aa276fcfa">
      <Terms xmlns="http://schemas.microsoft.com/office/infopath/2007/PartnerControls">
        <TermInfo xmlns="http://schemas.microsoft.com/office/infopath/2007/PartnerControls">
          <TermName xmlns="http://schemas.microsoft.com/office/infopath/2007/PartnerControls">DPN OTE PTC PT PRODUCTION SUPPORT (PTC PT PS)</TermName>
          <TermId xmlns="http://schemas.microsoft.com/office/infopath/2007/PartnerControls">e69ca0db-d678-4964-9f16-4702fb9102a7</TermId>
        </TermInfo>
      </Terms>
    </OrganisationTaxHTField0>
    <SecurityClassificationTaxHTField0 xmlns="b17ea744-38d1-4a71-9f69-726aa276fcfa">
      <Terms xmlns="http://schemas.microsoft.com/office/infopath/2007/PartnerControls">
        <TermInfo xmlns="http://schemas.microsoft.com/office/infopath/2007/PartnerControls">
          <TermName xmlns="http://schemas.microsoft.com/office/infopath/2007/PartnerControls">Internal</TermName>
          <TermId xmlns="http://schemas.microsoft.com/office/infopath/2007/PartnerControls">3f97380a-aecf-4500-b684-b7a8fb7ac2b7</TermId>
        </TermInfo>
      </Terms>
    </SecurityClassificationTaxHTField0>
    <Comments xmlns="http://schemas.microsoft.com/sharepoint/v3" xsi:nil="true"/>
    <_dlc_DocId xmlns="b17ea744-38d1-4a71-9f69-726aa276fcfa">7048d7c9-e319-4de2-bbe8-36e1be7b7b0b</_dlc_DocId>
    <_dlc_DocIdUrl xmlns="b17ea744-38d1-4a71-9f69-726aa276fcfa">
      <Url>http://team.statoil.com/sites/ts-25317/WHALPublic/_layouts/DocIdRedir.aspx?ID=7048d7c9-e319-4de2-bbe8-36e1be7b7b0b</Url>
      <Description>7048d7c9-e319-4de2-bbe8-36e1be7b7b0b</Description>
    </_dlc_DocIdUrl>
    <Document_x0020_status xmlns="6785d7e4-30f9-4d22-96e9-feb741109b78">Draft</Document_x0020_status>
    <c5848044411f4fa98adf11314f0721e6 xmlns="6785d7e4-30f9-4d22-96e9-feb741109b78">
      <Terms xmlns="http://schemas.microsoft.com/office/infopath/2007/PartnerControls"/>
    </c5848044411f4fa98adf11314f0721e6>
    <kee2b1491f954baf883e7abae48d7e08 xmlns="6785d7e4-30f9-4d22-96e9-feb741109b78">
      <Terms xmlns="http://schemas.microsoft.com/office/infopath/2007/PartnerControls"/>
    </kee2b1491f954baf883e7abae48d7e08>
    <g67e43ba57304fe6b66f46d1274ae932 xmlns="6785d7e4-30f9-4d22-96e9-feb741109b78">
      <Terms xmlns="http://schemas.microsoft.com/office/infopath/2007/PartnerControls"/>
    </g67e43ba57304fe6b66f46d1274ae932>
    <db03e935fd354626b017cf2be44bd81c xmlns="6785d7e4-30f9-4d22-96e9-feb741109b78">
      <Terms xmlns="http://schemas.microsoft.com/office/infopath/2007/PartnerControls"/>
    </db03e935fd354626b017cf2be44bd81c>
    <a3737954212a4365bd4a4ce04e6953df xmlns="6785d7e4-30f9-4d22-96e9-feb741109b78">
      <Terms xmlns="http://schemas.microsoft.com/office/infopath/2007/PartnerControls"/>
    </a3737954212a4365bd4a4ce04e6953df>
    <p0b731bc638b430cb34e1631fc6e70d8 xmlns="6785d7e4-30f9-4d22-96e9-feb741109b78">
      <Terms xmlns="http://schemas.microsoft.com/office/infopath/2007/PartnerControls"/>
    </p0b731bc638b430cb34e1631fc6e70d8>
  </documentManagement>
</p:properties>
</file>

<file path=customXml/item4.xml><?xml version="1.0" encoding="utf-8"?>
<?mso-contentType ?>
<p:Policy xmlns:p="office.server.policy" id="" local="true">
  <p:Name>Statoil retention and labelling</p:Name>
  <p:Description>Adds a label containing the security classification to all documents. Files a copy as a Legal Record to Meridio one day after a document is declared as a record.</p:Description>
  <p:Statement>Ensures document labelling and retention according to Statoil information management policy.</p:Statement>
  <p:PolicyItems>
    <p:PolicyItem featureId="Microsoft.Office.RecordsManagement.PolicyFeatures.Expiration" staticId="0x010100F7AC974578254811A4E2A32DB0F95ACD0B|-1289614699" UniqueId="ab3e38f8-87f8-4fc8-a5d8-33903e8e8b68">
      <p:Name>Retention</p:Name>
      <p:Description>Automatic scheduling of content for processing, and performing a retention action on content that has reached its due date.</p:Description>
      <p:CustomData>
        <Schedules default="false" nextStageId="3">
          <Schedule type="Default">
            <stages>
              <data stageId="1">
                <formula id="Status Sent to archive"/>
                <action id="Microsoft.Office.RecordsManagement.PolicyFeatures.Expiration.Action.Record" type="action"/>
              </data>
            </stages>
          </Schedule>
          <Schedule type="Record">
            <stages>
              <data stageId="2">
                <formula id="Microsoft.Office.RecordsManagement.PolicyFeatures.Expiration.Formula.BuiltIn">
                  <number>1</number>
                  <property>_vti_ItemDeclaredRecord</property>
                  <propertyId>f9a44731-84eb-43a4-9973-cd2953ad8646</propertyId>
                  <period>days</period>
                </formula>
                <action type="workflow" id="0790bfbf-af07-4e9d-8b64-b11d9df418ce"/>
              </data>
            </stages>
          </Schedule>
        </Schedules>
      </p:CustomData>
    </p:PolicyItem>
    <p:PolicyItem featureId="Ncas.PolicyFeatures.PolicyForHeaderAndFooter" staticId="0x010100F7AC974578254811A4E2A32DB0F95ACD0B|915892616" UniqueId="f577eb52-4459-4195-93b4-7693174c3c9b">
      <p:Name>Statoil document labelling policy</p:Name>
      <p:Description/>
      <p:CustomData>
        <data>
          <keywords>FalsexTruexTruexTrue</keywords>
          <label>Security Classification: {Security Classification} - Status: {Status}</label>
          <fieldlist>Security Classification;Organisation;Process</fieldlist>
          <fontsize>8</fontsize>
          <fontcolor>#000000</fontcolor>
        </data>
      </p:CustomData>
    </p:PolicyItem>
  </p:PolicyItems>
</p:Policy>
</file>

<file path=customXml/item5.xml><?xml version="1.0" encoding="utf-8"?>
<ct:contentTypeSchema xmlns:ct="http://schemas.microsoft.com/office/2006/metadata/contentType" xmlns:ma="http://schemas.microsoft.com/office/2006/metadata/properties/metaAttributes" ct:_="" ma:_="" ma:contentTypeName="Blank Document (UK)" ma:contentTypeID="0x010100F7AC974578254811A4E2A32DB0F95ACD0B00EA9DC34CB09AD547BA646E2CB174348E" ma:contentTypeVersion="34" ma:contentTypeDescription="Create a new blank document." ma:contentTypeScope="" ma:versionID="95056ed785051e198a9b1f13d136f1a1">
  <xsd:schema xmlns:xsd="http://www.w3.org/2001/XMLSchema" xmlns:xs="http://www.w3.org/2001/XMLSchema" xmlns:p="http://schemas.microsoft.com/office/2006/metadata/properties" xmlns:ns1="http://schemas.microsoft.com/sharepoint/v3" xmlns:ns2="b17ea744-38d1-4a71-9f69-726aa276fcfa" xmlns:ns3="6785d7e4-30f9-4d22-96e9-feb741109b78" xmlns:ns4="http://schemas.microsoft.com/sharepoint/v4" targetNamespace="http://schemas.microsoft.com/office/2006/metadata/properties" ma:root="true" ma:fieldsID="248aa96dd92658bc797ffbea81bba92c" ns1:_="" ns2:_="" ns3:_="" ns4:_="">
    <xsd:import namespace="http://schemas.microsoft.com/sharepoint/v3"/>
    <xsd:import namespace="b17ea744-38d1-4a71-9f69-726aa276fcfa"/>
    <xsd:import namespace="6785d7e4-30f9-4d22-96e9-feb741109b78"/>
    <xsd:import namespace="http://schemas.microsoft.com/sharepoint/v4"/>
    <xsd:element name="properties">
      <xsd:complexType>
        <xsd:sequence>
          <xsd:element name="documentManagement">
            <xsd:complexType>
              <xsd:all>
                <xsd:element ref="ns2:_dlc_DocId" minOccurs="0"/>
                <xsd:element ref="ns2:_dlc_DocIdUrl" minOccurs="0"/>
                <xsd:element ref="ns2:_dlc_DocIdPersistId" minOccurs="0"/>
                <xsd:element ref="ns1:Comments" minOccurs="0"/>
                <xsd:element ref="ns3:Document_x0020_status"/>
                <xsd:element ref="ns2:OrganisationTaxHTField0" minOccurs="0"/>
                <xsd:element ref="ns2:TaxCatchAll" minOccurs="0"/>
                <xsd:element ref="ns2:TaxCatchAllLabel" minOccurs="0"/>
                <xsd:element ref="ns2:ProcessTaxHTField0" minOccurs="0"/>
                <xsd:element ref="ns2:SecurityClassificationTaxHTField0" minOccurs="0"/>
                <xsd:element ref="ns1:_dlc_Exempt" minOccurs="0"/>
                <xsd:element ref="ns1:_dlc_ExpireDateSaved" minOccurs="0"/>
                <xsd:element ref="ns1:_dlc_ExpireDate" minOccurs="0"/>
                <xsd:element ref="ns3:db03e935fd354626b017cf2be44bd81c" minOccurs="0"/>
                <xsd:element ref="ns3:c5848044411f4fa98adf11314f0721e6" minOccurs="0"/>
                <xsd:element ref="ns3:kee2b1491f954baf883e7abae48d7e08" minOccurs="0"/>
                <xsd:element ref="ns3:a3737954212a4365bd4a4ce04e6953df" minOccurs="0"/>
                <xsd:element ref="ns3:g67e43ba57304fe6b66f46d1274ae932" minOccurs="0"/>
                <xsd:element ref="ns3:p0b731bc638b430cb34e1631fc6e70d8" minOccurs="0"/>
                <xsd:element ref="ns4:IconOverlay" minOccurs="0"/>
                <xsd:element ref="ns1:_vti_ItemDeclaredRecord" minOccurs="0"/>
                <xsd:element ref="ns1:_vti_ItemHoldRecord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omments" ma:index="11" nillable="true" ma:displayName="Comments" ma:internalName="Comments" ma:readOnly="false">
      <xsd:simpleType>
        <xsd:restriction base="dms:Note">
          <xsd:maxLength value="255"/>
        </xsd:restriction>
      </xsd:simpleType>
    </xsd:element>
    <xsd:element name="_dlc_Exempt" ma:index="21" nillable="true" ma:displayName="Exempt from Policy" ma:description="" ma:hidden="true" ma:internalName="_dlc_Exempt" ma:readOnly="true">
      <xsd:simpleType>
        <xsd:restriction base="dms:Unknown"/>
      </xsd:simpleType>
    </xsd:element>
    <xsd:element name="_dlc_ExpireDateSaved" ma:index="22" nillable="true" ma:displayName="Original Expiration Date" ma:description="" ma:hidden="true" ma:internalName="_dlc_ExpireDateSaved" ma:readOnly="true">
      <xsd:simpleType>
        <xsd:restriction base="dms:DateTime"/>
      </xsd:simpleType>
    </xsd:element>
    <xsd:element name="_dlc_ExpireDate" ma:index="23" nillable="true" ma:displayName="Expiration Date" ma:description="" ma:hidden="true" ma:indexed="true" ma:internalName="_dlc_ExpireDate" ma:readOnly="true">
      <xsd:simpleType>
        <xsd:restriction base="dms:DateTime"/>
      </xsd:simpleType>
    </xsd:element>
    <xsd:element name="_vti_ItemDeclaredRecord" ma:index="37" nillable="true" ma:displayName="Declared Record" ma:hidden="true" ma:internalName="_vti_ItemDeclaredRecord" ma:readOnly="true">
      <xsd:simpleType>
        <xsd:restriction base="dms:DateTime"/>
      </xsd:simpleType>
    </xsd:element>
    <xsd:element name="_vti_ItemHoldRecordStatus" ma:index="38" nillable="true" ma:displayName="Hold and Record Status" ma:decimals="0" ma:description="" ma:hidden="true" ma:indexed="true" ma:internalName="_vti_ItemHoldRecordStatu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17ea744-38d1-4a71-9f69-726aa276fcfa"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OrganisationTaxHTField0" ma:index="13" ma:taxonomy="true" ma:internalName="OrganisationTaxHTField0" ma:taxonomyFieldName="Organisation" ma:displayName="Organisation" ma:fieldId="{ce47518d-aabe-4849-b97c-60b86d4d3aa4}" ma:sspId="cda95b1f-d928-4d6d-948e-61bff6dae232" ma:termSetId="083c5b55-c594-4334-af18-825e08745075" ma:anchorId="00000000-0000-0000-0000-000000000000" ma:open="false" ma:isKeyword="false">
      <xsd:complexType>
        <xsd:sequence>
          <xsd:element ref="pc:Terms" minOccurs="0" maxOccurs="1"/>
        </xsd:sequence>
      </xsd:complexType>
    </xsd:element>
    <xsd:element name="TaxCatchAll" ma:index="14" nillable="true" ma:displayName="Taxonomy Catch All Column" ma:description="" ma:hidden="true" ma:list="{344d01f5-15dc-46b1-a01e-35ff03d00a0d}" ma:internalName="TaxCatchAll" ma:showField="CatchAllData" ma:web="6785d7e4-30f9-4d22-96e9-feb741109b78">
      <xsd:complexType>
        <xsd:complexContent>
          <xsd:extension base="dms:MultiChoiceLookup">
            <xsd:sequence>
              <xsd:element name="Value" type="dms:Lookup" maxOccurs="unbounded" minOccurs="0" nillable="true"/>
            </xsd:sequence>
          </xsd:extension>
        </xsd:complexContent>
      </xsd:complexType>
    </xsd:element>
    <xsd:element name="TaxCatchAllLabel" ma:index="15" nillable="true" ma:displayName="Taxonomy Catch All Column1" ma:description="" ma:hidden="true" ma:list="{344d01f5-15dc-46b1-a01e-35ff03d00a0d}" ma:internalName="TaxCatchAllLabel" ma:readOnly="true" ma:showField="CatchAllDataLabel" ma:web="6785d7e4-30f9-4d22-96e9-feb741109b78">
      <xsd:complexType>
        <xsd:complexContent>
          <xsd:extension base="dms:MultiChoiceLookup">
            <xsd:sequence>
              <xsd:element name="Value" type="dms:Lookup" maxOccurs="unbounded" minOccurs="0" nillable="true"/>
            </xsd:sequence>
          </xsd:extension>
        </xsd:complexContent>
      </xsd:complexType>
    </xsd:element>
    <xsd:element name="ProcessTaxHTField0" ma:index="17" ma:taxonomy="true" ma:internalName="ProcessTaxHTField0" ma:taxonomyFieldName="Process" ma:displayName="Process" ma:fieldId="{cf54353a-d5f3-4406-bb28-57e132cd03b5}" ma:sspId="cda95b1f-d928-4d6d-948e-61bff6dae232" ma:termSetId="1e61085d-668a-4ac3-b3a9-3ec5fc37e947" ma:anchorId="00000000-0000-0000-0000-000000000000" ma:open="false" ma:isKeyword="false">
      <xsd:complexType>
        <xsd:sequence>
          <xsd:element ref="pc:Terms" minOccurs="0" maxOccurs="1"/>
        </xsd:sequence>
      </xsd:complexType>
    </xsd:element>
    <xsd:element name="SecurityClassificationTaxHTField0" ma:index="19" ma:taxonomy="true" ma:internalName="SecurityClassificationTaxHTField0" ma:taxonomyFieldName="SecurityClassification" ma:displayName="Security Classification" ma:readOnly="false" ma:default="1;#Internal|3f97380a-aecf-4500-b684-b7a8fb7ac2b7" ma:fieldId="{be4fd496-4d16-48e7-ac00-387dd0149b64}" ma:sspId="cda95b1f-d928-4d6d-948e-61bff6dae232" ma:termSetId="b87b6b70-c067-4d50-a8a5-b6242aa022af"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785d7e4-30f9-4d22-96e9-feb741109b78" elementFormDefault="qualified">
    <xsd:import namespace="http://schemas.microsoft.com/office/2006/documentManagement/types"/>
    <xsd:import namespace="http://schemas.microsoft.com/office/infopath/2007/PartnerControls"/>
    <xsd:element name="Document_x0020_status" ma:index="12" ma:displayName="Status" ma:default="Draft" ma:description="Status of the information object." ma:format="Dropdown" ma:internalName="Document_x0020_status" ma:readOnly="false">
      <xsd:simpleType>
        <xsd:restriction base="dms:Choice">
          <xsd:enumeration value="Draft"/>
          <xsd:enumeration value="Final"/>
          <xsd:enumeration value="Sent to archive"/>
        </xsd:restriction>
      </xsd:simpleType>
    </xsd:element>
    <xsd:element name="db03e935fd354626b017cf2be44bd81c" ma:index="25" nillable="true" ma:taxonomy="true" ma:internalName="db03e935fd354626b017cf2be44bd81c" ma:taxonomyFieldName="Country" ma:displayName="Country" ma:fieldId="{db03e935-fd35-4626-b017-cf2be44bd81c}" ma:sspId="cda95b1f-d928-4d6d-948e-61bff6dae232" ma:termSetId="1a37c2ac-c76c-4820-be37-ffa323180fb0" ma:anchorId="00000000-0000-0000-0000-000000000000" ma:open="false" ma:isKeyword="false">
      <xsd:complexType>
        <xsd:sequence>
          <xsd:element ref="pc:Terms" minOccurs="0" maxOccurs="1"/>
        </xsd:sequence>
      </xsd:complexType>
    </xsd:element>
    <xsd:element name="c5848044411f4fa98adf11314f0721e6" ma:index="27" nillable="true" ma:taxonomy="true" ma:internalName="c5848044411f4fa98adf11314f0721e6" ma:taxonomyFieldName="Field_x0020_Identifier" ma:displayName="Field Identifier" ma:fieldId="{c5848044-411f-4fa9-8adf-11314f0721e6}" ma:sspId="cda95b1f-d928-4d6d-948e-61bff6dae232" ma:termSetId="137483e1-da5c-4637-91ad-090ae0ad25e9" ma:anchorId="00000000-0000-0000-0000-000000000000" ma:open="false" ma:isKeyword="false">
      <xsd:complexType>
        <xsd:sequence>
          <xsd:element ref="pc:Terms" minOccurs="0" maxOccurs="1"/>
        </xsd:sequence>
      </xsd:complexType>
    </xsd:element>
    <xsd:element name="kee2b1491f954baf883e7abae48d7e08" ma:index="29" nillable="true" ma:taxonomy="true" ma:internalName="kee2b1491f954baf883e7abae48d7e08" ma:taxonomyFieldName="License_x002f_Concession_x0020_Part" ma:displayName="License/Concession Part" ma:fieldId="{4ee2b149-1f95-4baf-883e-7abae48d7e08}" ma:sspId="cda95b1f-d928-4d6d-948e-61bff6dae232" ma:termSetId="54686d82-1623-4df8-a5f7-cd7113453f93" ma:anchorId="00000000-0000-0000-0000-000000000000" ma:open="false" ma:isKeyword="false">
      <xsd:complexType>
        <xsd:sequence>
          <xsd:element ref="pc:Terms" minOccurs="0" maxOccurs="1"/>
        </xsd:sequence>
      </xsd:complexType>
    </xsd:element>
    <xsd:element name="a3737954212a4365bd4a4ce04e6953df" ma:index="31" nillable="true" ma:taxonomy="true" ma:internalName="a3737954212a4365bd4a4ce04e6953df" ma:taxonomyFieldName="Technical_x0020_Document_x0020_Type" ma:displayName="Technical Document Type" ma:fieldId="{a3737954-212a-4365-bd4a-4ce04e6953df}" ma:sspId="cda95b1f-d928-4d6d-948e-61bff6dae232" ma:termSetId="87209658-c366-4f92-ac4a-548bf3d3ba25" ma:anchorId="00000000-0000-0000-0000-000000000000" ma:open="false" ma:isKeyword="false">
      <xsd:complexType>
        <xsd:sequence>
          <xsd:element ref="pc:Terms" minOccurs="0" maxOccurs="1"/>
        </xsd:sequence>
      </xsd:complexType>
    </xsd:element>
    <xsd:element name="g67e43ba57304fe6b66f46d1274ae932" ma:index="33" nillable="true" ma:taxonomy="true" ma:internalName="g67e43ba57304fe6b66f46d1274ae932" ma:taxonomyFieldName="Decision_x0020_Gate_x002f_Milestone" ma:displayName="Decision Gate/Milestone" ma:fieldId="{067e43ba-5730-4fe6-b66f-46d1274ae932}" ma:sspId="cda95b1f-d928-4d6d-948e-61bff6dae232" ma:termSetId="54b26842-12e0-44c4-bc76-db3abe8f392b" ma:anchorId="00000000-0000-0000-0000-000000000000" ma:open="false" ma:isKeyword="false">
      <xsd:complexType>
        <xsd:sequence>
          <xsd:element ref="pc:Terms" minOccurs="0" maxOccurs="1"/>
        </xsd:sequence>
      </xsd:complexType>
    </xsd:element>
    <xsd:element name="p0b731bc638b430cb34e1631fc6e70d8" ma:index="35" nillable="true" ma:taxonomy="true" ma:internalName="p0b731bc638b430cb34e1631fc6e70d8" ma:taxonomyFieldName="Discipline_x0020_Area" ma:displayName="Discipline Area" ma:fieldId="{90b731bc-638b-430c-b34e-1631fc6e70d8}" ma:sspId="cda95b1f-d928-4d6d-948e-61bff6dae232" ma:termSetId="d0e8028c-e950-4107-8dde-700ef744bdc9"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36"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mso-contentType ?>
<customXsn xmlns="http://schemas.microsoft.com/office/2006/metadata/customXsn">
  <xsnLocation/>
  <cached>True</cached>
  <openByDefault>True</openByDefault>
  <xsnScope/>
</customXsn>
</file>

<file path=customXml/item7.xml><?xml version="1.0" encoding="utf-8"?>
<LongProperties xmlns="http://schemas.microsoft.com/office/2006/metadata/longProperties">
  <LongProp xmlns="" name="TaxCatchAll"><![CDATA[2;#Norway|a1382af9-83ff-473f-a26d-d36a0b184597;#3;#STATFJORD|1b38f089-0df3-4fb9-a19e-55298a2dddfe;#4;#NO PL037|8db5a7fe-cfe5-4d7f-872e-7b78c92a918b;#14;#DPN OS STATFJORD (DPN OS SF)|b8bafcd3-48b2-4cde-ad51-344dd03717f4;#13;#Field production|53858c5e-8940-4bd3-b6bd-5dca114a593b;#1;#Internal|3f97380a-aecf-4500-b684-b7a8fb7ac2b7]]></LongProp>
</LongProperties>
</file>

<file path=customXml/item8.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4B3B256-F46E-4EAE-9ACE-F313A9B84E73}">
  <ds:schemaRefs>
    <ds:schemaRef ds:uri="http://schemas.microsoft.com/sharepoint/events"/>
  </ds:schemaRefs>
</ds:datastoreItem>
</file>

<file path=customXml/itemProps2.xml><?xml version="1.0" encoding="utf-8"?>
<ds:datastoreItem xmlns:ds="http://schemas.openxmlformats.org/officeDocument/2006/customXml" ds:itemID="{D00208E3-0891-4AE6-B701-08A9A53F4563}">
  <ds:schemaRefs>
    <ds:schemaRef ds:uri="Microsoft.SharePoint.Taxonomy.ContentTypeSync"/>
  </ds:schemaRefs>
</ds:datastoreItem>
</file>

<file path=customXml/itemProps3.xml><?xml version="1.0" encoding="utf-8"?>
<ds:datastoreItem xmlns:ds="http://schemas.openxmlformats.org/officeDocument/2006/customXml" ds:itemID="{A39B0484-31B7-4820-8949-D42B57F6067C}">
  <ds:schemaRefs>
    <ds:schemaRef ds:uri="b17ea744-38d1-4a71-9f69-726aa276fcfa"/>
    <ds:schemaRef ds:uri="http://purl.org/dc/term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schemas.microsoft.com/sharepoint/v4"/>
    <ds:schemaRef ds:uri="6785d7e4-30f9-4d22-96e9-feb741109b78"/>
    <ds:schemaRef ds:uri="http://schemas.microsoft.com/sharepoint/v3"/>
    <ds:schemaRef ds:uri="http://www.w3.org/XML/1998/namespace"/>
    <ds:schemaRef ds:uri="http://purl.org/dc/dcmitype/"/>
  </ds:schemaRefs>
</ds:datastoreItem>
</file>

<file path=customXml/itemProps4.xml><?xml version="1.0" encoding="utf-8"?>
<ds:datastoreItem xmlns:ds="http://schemas.openxmlformats.org/officeDocument/2006/customXml" ds:itemID="{4864B27C-7383-4446-B453-9D2A5E2A5CB5}">
  <ds:schemaRefs>
    <ds:schemaRef ds:uri="office.server.policy"/>
  </ds:schemaRefs>
</ds:datastoreItem>
</file>

<file path=customXml/itemProps5.xml><?xml version="1.0" encoding="utf-8"?>
<ds:datastoreItem xmlns:ds="http://schemas.openxmlformats.org/officeDocument/2006/customXml" ds:itemID="{CC16BC1B-2ACD-4768-9F39-ABD84DE8C78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17ea744-38d1-4a71-9f69-726aa276fcfa"/>
    <ds:schemaRef ds:uri="6785d7e4-30f9-4d22-96e9-feb741109b78"/>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DE55AE7D-7DD2-4956-BEC7-AA353CC7553B}">
  <ds:schemaRefs>
    <ds:schemaRef ds:uri="http://schemas.microsoft.com/office/2006/metadata/customXsn"/>
  </ds:schemaRefs>
</ds:datastoreItem>
</file>

<file path=customXml/itemProps7.xml><?xml version="1.0" encoding="utf-8"?>
<ds:datastoreItem xmlns:ds="http://schemas.openxmlformats.org/officeDocument/2006/customXml" ds:itemID="{B1416C32-06C2-4E37-B8ED-E385AD0546FA}">
  <ds:schemaRefs>
    <ds:schemaRef ds:uri="http://schemas.microsoft.com/office/2006/metadata/longProperties"/>
    <ds:schemaRef ds:uri=""/>
  </ds:schemaRefs>
</ds:datastoreItem>
</file>

<file path=customXml/itemProps8.xml><?xml version="1.0" encoding="utf-8"?>
<ds:datastoreItem xmlns:ds="http://schemas.openxmlformats.org/officeDocument/2006/customXml" ds:itemID="{A963D6A5-3505-4405-B759-89609769B08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Info MultiTest</vt:lpstr>
      <vt:lpstr>MultiTestAnalysis</vt:lpstr>
      <vt:lpstr>Info SingleTest</vt:lpstr>
      <vt:lpstr>SingelTestAnalyse</vt:lpstr>
    </vt:vector>
  </TitlesOfParts>
  <Company>Petroleum Experts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Håvard Thomassen Lauritsen</dc:creator>
  <cp:lastModifiedBy>Thorjan Knudsvik</cp:lastModifiedBy>
  <dcterms:created xsi:type="dcterms:W3CDTF">1998-05-22T12:18:36Z</dcterms:created>
  <dcterms:modified xsi:type="dcterms:W3CDTF">2019-06-18T08:22:19Z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858954474</vt:i4>
  </property>
  <property fmtid="{D5CDD505-2E9C-101B-9397-08002B2CF9AE}" pid="3" name="_NewReviewCycle">
    <vt:lpwstr/>
  </property>
  <property fmtid="{D5CDD505-2E9C-101B-9397-08002B2CF9AE}" pid="4" name="_EmailSubject">
    <vt:lpwstr>Correlation for use of generating lift curves</vt:lpwstr>
  </property>
  <property fmtid="{D5CDD505-2E9C-101B-9397-08002B2CF9AE}" pid="5" name="_AuthorEmail">
    <vt:lpwstr>slt@statoil.com</vt:lpwstr>
  </property>
  <property fmtid="{D5CDD505-2E9C-101B-9397-08002B2CF9AE}" pid="6" name="_AuthorEmailDisplayName">
    <vt:lpwstr>Solfrid Løken Tonstad</vt:lpwstr>
  </property>
  <property fmtid="{D5CDD505-2E9C-101B-9397-08002B2CF9AE}" pid="7" name="_ReviewingToolsShownOnce">
    <vt:lpwstr/>
  </property>
  <property fmtid="{D5CDD505-2E9C-101B-9397-08002B2CF9AE}" pid="8" name="ItemRetentionFormula">
    <vt:lpwstr>&lt;formula id="Status Sent to archive" /&gt;</vt:lpwstr>
  </property>
  <property fmtid="{D5CDD505-2E9C-101B-9397-08002B2CF9AE}" pid="9" name="_dlc_policyId">
    <vt:lpwstr>0x010100F7AC974578254811A4E2A32DB0F95ACD0B|-1289614699</vt:lpwstr>
  </property>
  <property fmtid="{D5CDD505-2E9C-101B-9397-08002B2CF9AE}" pid="10" name="_dlc_DocId">
    <vt:lpwstr>938f2157-a9f2-4a05-9d0a-9d32887c622e</vt:lpwstr>
  </property>
  <property fmtid="{D5CDD505-2E9C-101B-9397-08002B2CF9AE}" pid="11" name="_dlc_DocIdItemGuid">
    <vt:lpwstr>c9d9c513-daa3-4963-8d20-9a6793ddaa1f</vt:lpwstr>
  </property>
  <property fmtid="{D5CDD505-2E9C-101B-9397-08002B2CF9AE}" pid="12" name="_dlc_DocIdUrl">
    <vt:lpwstr>http://team.statoil.com/sites/ts-94310/Production/_layouts/DocIdRedir.aspx?ID=938f2157-a9f2-4a05-9d0a-9d32887c622e, 938f2157-a9f2-4a05-9d0a-9d32887c622e</vt:lpwstr>
  </property>
  <property fmtid="{D5CDD505-2E9C-101B-9397-08002B2CF9AE}" pid="13" name="Organisation">
    <vt:lpwstr>12</vt:lpwstr>
  </property>
  <property fmtid="{D5CDD505-2E9C-101B-9397-08002B2CF9AE}" pid="14" name="Discipline_x0020_Area">
    <vt:lpwstr/>
  </property>
  <property fmtid="{D5CDD505-2E9C-101B-9397-08002B2CF9AE}" pid="15" name="Process">
    <vt:lpwstr>3</vt:lpwstr>
  </property>
  <property fmtid="{D5CDD505-2E9C-101B-9397-08002B2CF9AE}" pid="16" name="Technical_x0020_Document_x0020_Type">
    <vt:lpwstr/>
  </property>
  <property fmtid="{D5CDD505-2E9C-101B-9397-08002B2CF9AE}" pid="17" name="SecurityClassification">
    <vt:lpwstr>1</vt:lpwstr>
  </property>
  <property fmtid="{D5CDD505-2E9C-101B-9397-08002B2CF9AE}" pid="18" name="Decision_x0020_Gate_x002f_Milestone">
    <vt:lpwstr/>
  </property>
  <property fmtid="{D5CDD505-2E9C-101B-9397-08002B2CF9AE}" pid="19" name="ContentTypeId">
    <vt:lpwstr>0x010100F7AC974578254811A4E2A32DB0F95ACD0B00EA9DC34CB09AD547BA646E2CB174348E</vt:lpwstr>
  </property>
  <property fmtid="{D5CDD505-2E9C-101B-9397-08002B2CF9AE}" pid="20" name="Decision Gate/Milestone">
    <vt:lpwstr/>
  </property>
  <property fmtid="{D5CDD505-2E9C-101B-9397-08002B2CF9AE}" pid="21" name="Discipline Area">
    <vt:lpwstr/>
  </property>
  <property fmtid="{D5CDD505-2E9C-101B-9397-08002B2CF9AE}" pid="22" name="Technical Document Type">
    <vt:lpwstr/>
  </property>
</Properties>
</file>